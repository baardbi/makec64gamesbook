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535d74f6cb66808/Documents/C64 Course/Documents/"/>
    </mc:Choice>
  </mc:AlternateContent>
  <xr:revisionPtr revIDLastSave="28" documentId="13_ncr:1_{88E59DF6-B5BE-B746-9584-34E37E93C120}" xr6:coauthVersionLast="47" xr6:coauthVersionMax="47" xr10:uidLastSave="{034C99DD-5A0F-B845-928E-AA2CA0CCB780}"/>
  <bookViews>
    <workbookView xWindow="240" yWindow="500" windowWidth="28040" windowHeight="15800" activeTab="1" xr2:uid="{49A5BBCC-5D77-5F4B-A8C8-3B10282EE3FC}"/>
  </bookViews>
  <sheets>
    <sheet name="Screen Tables" sheetId="1" r:id="rId1"/>
    <sheet name="Room 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B7" i="2" s="1"/>
  <c r="B3" i="1"/>
  <c r="I3" i="1" s="1"/>
  <c r="C3" i="1"/>
  <c r="I4" i="1" s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5" i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F5" i="2"/>
  <c r="H5" i="2"/>
  <c r="E5" i="2"/>
  <c r="C5" i="2"/>
  <c r="B13" i="2" l="1"/>
  <c r="C18" i="1"/>
  <c r="C15" i="1"/>
  <c r="C14" i="1"/>
  <c r="C9" i="1"/>
  <c r="C27" i="1"/>
  <c r="C26" i="1"/>
  <c r="C25" i="1"/>
  <c r="C24" i="1"/>
  <c r="C23" i="1"/>
  <c r="C5" i="1"/>
  <c r="C22" i="1"/>
  <c r="C29" i="1"/>
  <c r="C21" i="1"/>
  <c r="C28" i="1"/>
  <c r="C20" i="1"/>
  <c r="C19" i="1"/>
  <c r="C17" i="1"/>
  <c r="C16" i="1"/>
  <c r="B66" i="2"/>
  <c r="B58" i="2"/>
  <c r="I58" i="2" s="1"/>
  <c r="B50" i="2"/>
  <c r="I50" i="2" s="1"/>
  <c r="B42" i="2"/>
  <c r="B33" i="2"/>
  <c r="B24" i="2"/>
  <c r="I24" i="2" s="1"/>
  <c r="B14" i="2"/>
  <c r="B59" i="2"/>
  <c r="B34" i="2"/>
  <c r="B6" i="2"/>
  <c r="B5" i="2"/>
  <c r="B65" i="2"/>
  <c r="B57" i="2"/>
  <c r="I57" i="2" s="1"/>
  <c r="B49" i="2"/>
  <c r="I49" i="2" s="1"/>
  <c r="B41" i="2"/>
  <c r="B32" i="2"/>
  <c r="B22" i="2"/>
  <c r="I22" i="2" s="1"/>
  <c r="B64" i="2"/>
  <c r="B56" i="2"/>
  <c r="I56" i="2" s="1"/>
  <c r="B48" i="2"/>
  <c r="I48" i="2" s="1"/>
  <c r="B40" i="2"/>
  <c r="I40" i="2" s="1"/>
  <c r="B30" i="2"/>
  <c r="I30" i="2" s="1"/>
  <c r="B21" i="2"/>
  <c r="B12" i="2"/>
  <c r="B11" i="2"/>
  <c r="B10" i="2"/>
  <c r="B9" i="2"/>
  <c r="I9" i="2" s="1"/>
  <c r="B67" i="2"/>
  <c r="I67" i="2" s="1"/>
  <c r="B51" i="2"/>
  <c r="I51" i="2" s="1"/>
  <c r="B43" i="2"/>
  <c r="I43" i="2" s="1"/>
  <c r="B16" i="2"/>
  <c r="B63" i="2"/>
  <c r="I63" i="2" s="1"/>
  <c r="B55" i="2"/>
  <c r="B47" i="2"/>
  <c r="B38" i="2"/>
  <c r="I38" i="2" s="1"/>
  <c r="B29" i="2"/>
  <c r="I29" i="2" s="1"/>
  <c r="B20" i="2"/>
  <c r="B62" i="2"/>
  <c r="I62" i="2" s="1"/>
  <c r="B54" i="2"/>
  <c r="B46" i="2"/>
  <c r="I46" i="2" s="1"/>
  <c r="B37" i="2"/>
  <c r="I37" i="2" s="1"/>
  <c r="B28" i="2"/>
  <c r="B19" i="2"/>
  <c r="I19" i="2" s="1"/>
  <c r="B61" i="2"/>
  <c r="B53" i="2"/>
  <c r="I53" i="2" s="1"/>
  <c r="B45" i="2"/>
  <c r="I45" i="2" s="1"/>
  <c r="B36" i="2"/>
  <c r="I36" i="2" s="1"/>
  <c r="B27" i="2"/>
  <c r="B18" i="2"/>
  <c r="B68" i="2"/>
  <c r="B60" i="2"/>
  <c r="B52" i="2"/>
  <c r="I52" i="2" s="1"/>
  <c r="B44" i="2"/>
  <c r="I44" i="2" s="1"/>
  <c r="B35" i="2"/>
  <c r="I35" i="2" s="1"/>
  <c r="B26" i="2"/>
  <c r="I26" i="2" s="1"/>
  <c r="B17" i="2"/>
  <c r="I17" i="2" s="1"/>
  <c r="B8" i="2"/>
  <c r="B25" i="2"/>
  <c r="I25" i="2" s="1"/>
  <c r="C6" i="1"/>
  <c r="C13" i="1"/>
  <c r="C12" i="1"/>
  <c r="C11" i="1"/>
  <c r="C10" i="1"/>
  <c r="C8" i="1"/>
  <c r="C7" i="1"/>
  <c r="K4" i="2"/>
  <c r="I4" i="2" s="1"/>
  <c r="B39" i="2"/>
  <c r="I39" i="2" s="1"/>
  <c r="B31" i="2"/>
  <c r="I31" i="2" s="1"/>
  <c r="B23" i="2"/>
  <c r="I23" i="2" s="1"/>
  <c r="B15" i="2"/>
  <c r="I15" i="2" s="1"/>
  <c r="G4" i="1"/>
  <c r="B11" i="1"/>
  <c r="B19" i="1"/>
  <c r="B27" i="1"/>
  <c r="B20" i="1"/>
  <c r="B28" i="1"/>
  <c r="B29" i="1"/>
  <c r="G29" i="1" s="1"/>
  <c r="B21" i="1"/>
  <c r="B5" i="1"/>
  <c r="G5" i="1" s="1"/>
  <c r="B23" i="1"/>
  <c r="B24" i="1"/>
  <c r="B25" i="1"/>
  <c r="B10" i="1"/>
  <c r="B12" i="1"/>
  <c r="B13" i="1"/>
  <c r="G13" i="1" s="1"/>
  <c r="B8" i="1"/>
  <c r="B17" i="1"/>
  <c r="B26" i="1"/>
  <c r="B6" i="1"/>
  <c r="B14" i="1"/>
  <c r="B22" i="1"/>
  <c r="G22" i="1" s="1"/>
  <c r="B7" i="1"/>
  <c r="G7" i="1" s="1"/>
  <c r="B15" i="1"/>
  <c r="G15" i="1" s="1"/>
  <c r="B16" i="1"/>
  <c r="B9" i="1"/>
  <c r="G9" i="1" s="1"/>
  <c r="B18" i="1"/>
  <c r="I47" i="2"/>
  <c r="I55" i="2"/>
  <c r="I7" i="2"/>
  <c r="I14" i="2"/>
  <c r="I54" i="2"/>
  <c r="I65" i="2"/>
  <c r="I41" i="2"/>
  <c r="I33" i="2"/>
  <c r="I68" i="2"/>
  <c r="I60" i="2"/>
  <c r="I28" i="2"/>
  <c r="I20" i="2"/>
  <c r="I12" i="2"/>
  <c r="I59" i="2"/>
  <c r="I27" i="2"/>
  <c r="I11" i="2"/>
  <c r="I64" i="2"/>
  <c r="I32" i="2"/>
  <c r="I16" i="2"/>
  <c r="I6" i="2"/>
  <c r="I66" i="2"/>
  <c r="I42" i="2"/>
  <c r="I34" i="2"/>
  <c r="I18" i="2"/>
  <c r="I10" i="2"/>
  <c r="I61" i="2"/>
  <c r="I21" i="2"/>
  <c r="I13" i="2"/>
  <c r="I5" i="2"/>
  <c r="I8" i="2"/>
  <c r="G14" i="1" l="1"/>
  <c r="G12" i="1"/>
  <c r="G10" i="1"/>
  <c r="G28" i="1"/>
  <c r="G16" i="1"/>
  <c r="G11" i="1"/>
  <c r="G20" i="1"/>
  <c r="G17" i="1"/>
  <c r="G27" i="1"/>
  <c r="G25" i="1"/>
  <c r="G6" i="1"/>
  <c r="G24" i="1"/>
  <c r="G19" i="1"/>
  <c r="G18" i="1"/>
  <c r="G26" i="1"/>
  <c r="G23" i="1"/>
  <c r="G21" i="1"/>
  <c r="G8" i="1"/>
</calcChain>
</file>

<file path=xl/sharedStrings.xml><?xml version="1.0" encoding="utf-8"?>
<sst xmlns="http://schemas.openxmlformats.org/spreadsheetml/2006/main" count="41" uniqueCount="13">
  <si>
    <t>))</t>
  </si>
  <si>
    <t>SCREEN_WIDTH</t>
  </si>
  <si>
    <t>ROOM_SIZE</t>
  </si>
  <si>
    <t>&lt;</t>
  </si>
  <si>
    <t>SCREEN_RAM</t>
  </si>
  <si>
    <t>&gt;</t>
  </si>
  <si>
    <t>SCREEN_COLOR_RAM</t>
  </si>
  <si>
    <t>Row_</t>
  </si>
  <si>
    <t>Row_Color_</t>
  </si>
  <si>
    <t>LO</t>
  </si>
  <si>
    <t>HI</t>
  </si>
  <si>
    <t>ROOMS_ADDRESS</t>
  </si>
  <si>
    <t>Room_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</si>
</sst>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2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5" fmlaLink="$A$3" fmlaRange="$B$1:$B$2" noThreeD="1" sel="2" val="0"/>
</file>

<file path=xl/ctrlProps/ctrlProp3.xml><?xml version="1.0" encoding="utf-8"?>
<formControlPr xmlns="http://schemas.microsoft.com/office/spreadsheetml/2009/9/main" objectType="Drop" dropStyle="combo" dx="15" fmlaLink="$A$4" fmlaRange="$C$1:$C$2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fmlaLink="$A$3" fmlaRange="$B$1:$B$2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1054100</xdr:colOff>
          <xdr:row>0</xdr:row>
          <xdr:rowOff>139700</xdr:rowOff>
        </xdr:from>
        <xdr:to>
          <xdr:col>6</xdr:col>
          <xdr:colOff>2578100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Screen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2</xdr:row>
          <xdr:rowOff>190500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3</xdr:col>
          <xdr:colOff>381000</xdr:colOff>
          <xdr:row>3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812800</xdr:colOff>
          <xdr:row>0</xdr:row>
          <xdr:rowOff>139700</xdr:rowOff>
        </xdr:from>
        <xdr:to>
          <xdr:col>8</xdr:col>
          <xdr:colOff>2336800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Room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32A4C-1268-C24C-BD31-5E7C0A3EA8D3}">
  <sheetPr codeName="Ark1"/>
  <dimension ref="A1:P39"/>
  <sheetViews>
    <sheetView workbookViewId="0">
      <selection activeCell="G4" sqref="G4:G29"/>
    </sheetView>
  </sheetViews>
  <sheetFormatPr baseColWidth="10" defaultRowHeight="16" x14ac:dyDescent="0.2"/>
  <cols>
    <col min="3" max="3" width="22.5" customWidth="1"/>
    <col min="4" max="4" width="19.1640625" bestFit="1" customWidth="1"/>
    <col min="7" max="7" width="47.83203125" bestFit="1" customWidth="1"/>
  </cols>
  <sheetData>
    <row r="1" spans="1:16" x14ac:dyDescent="0.2">
      <c r="A1" s="7"/>
      <c r="B1" s="7" t="s">
        <v>3</v>
      </c>
      <c r="C1" s="7" t="s">
        <v>4</v>
      </c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x14ac:dyDescent="0.2">
      <c r="A2" s="7"/>
      <c r="B2" s="7" t="s">
        <v>5</v>
      </c>
      <c r="C2" s="7" t="s">
        <v>6</v>
      </c>
      <c r="D2" s="5"/>
      <c r="E2" s="5"/>
      <c r="F2" s="5"/>
      <c r="G2" s="5"/>
      <c r="H2" s="5"/>
      <c r="I2" s="7"/>
      <c r="J2" s="7"/>
      <c r="K2" s="7"/>
      <c r="L2" s="7"/>
      <c r="M2" s="7"/>
      <c r="N2" s="7"/>
      <c r="O2" s="7"/>
      <c r="P2" s="7"/>
    </row>
    <row r="3" spans="1:16" x14ac:dyDescent="0.2">
      <c r="A3" s="7">
        <v>2</v>
      </c>
      <c r="B3" s="6" t="str">
        <f>IF(A3=1,B1,B2)</f>
        <v>&gt;</v>
      </c>
      <c r="C3" s="6" t="str">
        <f>IF(A4=1,C1,C2)</f>
        <v>SCREEN_RAM</v>
      </c>
      <c r="D3" s="8" t="s">
        <v>1</v>
      </c>
      <c r="E3" s="5"/>
      <c r="F3" s="5"/>
      <c r="G3" s="5"/>
      <c r="H3" s="5"/>
      <c r="I3" s="7" t="str">
        <f>IF($B$3="&lt;",K3,K4)</f>
        <v>HI</v>
      </c>
      <c r="J3" s="7" t="s">
        <v>7</v>
      </c>
      <c r="K3" s="7" t="s">
        <v>9</v>
      </c>
      <c r="L3" s="7"/>
      <c r="M3" s="7"/>
      <c r="N3" s="7"/>
      <c r="O3" s="7"/>
      <c r="P3" s="7"/>
    </row>
    <row r="4" spans="1:16" x14ac:dyDescent="0.2">
      <c r="A4" s="7">
        <v>1</v>
      </c>
      <c r="B4" s="5"/>
      <c r="C4" s="5"/>
      <c r="D4" s="5"/>
      <c r="E4" s="5"/>
      <c r="F4" s="5"/>
      <c r="G4" s="4" t="str">
        <f>I4&amp;I3&amp;":"</f>
        <v>Row_HI:</v>
      </c>
      <c r="H4" s="5"/>
      <c r="I4" s="7" t="str">
        <f>IF($C$3="SCREEN_RAM",J3,J4)</f>
        <v>Row_</v>
      </c>
      <c r="J4" s="7" t="s">
        <v>8</v>
      </c>
      <c r="K4" s="7" t="s">
        <v>10</v>
      </c>
      <c r="L4" s="7"/>
      <c r="M4" s="7"/>
      <c r="N4" s="7"/>
      <c r="O4" s="7"/>
      <c r="P4" s="7"/>
    </row>
    <row r="5" spans="1:16" x14ac:dyDescent="0.2">
      <c r="A5" s="5"/>
      <c r="B5" t="str">
        <f>".byte " &amp;$B$3&amp;"("</f>
        <v>.byte &gt;(</v>
      </c>
      <c r="C5" s="2" t="str">
        <f>$C$3</f>
        <v>SCREEN_RAM</v>
      </c>
      <c r="D5" t="str">
        <f>" + ("&amp;$D$3&amp;" * "</f>
        <v xml:space="preserve"> + (SCREEN_WIDTH * </v>
      </c>
      <c r="E5">
        <v>0</v>
      </c>
      <c r="F5" t="s">
        <v>0</v>
      </c>
      <c r="G5" s="3" t="str">
        <f>B5&amp;C5&amp;D5&amp;E5&amp;F5</f>
        <v>.byte &gt;(SCREEN_RAM + (SCREEN_WIDTH * 0))</v>
      </c>
      <c r="H5" s="5"/>
      <c r="I5" s="7"/>
      <c r="J5" s="7"/>
      <c r="K5" s="7"/>
      <c r="L5" s="7"/>
      <c r="M5" s="7"/>
      <c r="N5" s="7"/>
      <c r="O5" s="7"/>
      <c r="P5" s="7"/>
    </row>
    <row r="6" spans="1:16" x14ac:dyDescent="0.2">
      <c r="A6" s="5"/>
      <c r="B6" t="str">
        <f t="shared" ref="B6:B28" si="0">".byte " &amp;$B$3&amp;"("</f>
        <v>.byte &gt;(</v>
      </c>
      <c r="C6" s="2" t="str">
        <f t="shared" ref="C6:C29" si="1">$C$3</f>
        <v>SCREEN_RAM</v>
      </c>
      <c r="D6" t="str">
        <f t="shared" ref="D6:D29" si="2">" + ("&amp;$D$3&amp;" * "</f>
        <v xml:space="preserve"> + (SCREEN_WIDTH * </v>
      </c>
      <c r="E6">
        <v>1</v>
      </c>
      <c r="F6" t="s">
        <v>0</v>
      </c>
      <c r="G6" s="3" t="str">
        <f t="shared" ref="G6:G29" si="3">B6&amp;C6&amp;D6&amp;E6&amp;F6</f>
        <v>.byte &gt;(SCREEN_RAM + (SCREEN_WIDTH * 1))</v>
      </c>
      <c r="H6" s="5"/>
      <c r="I6" s="7"/>
      <c r="J6" s="7"/>
      <c r="K6" s="7"/>
      <c r="L6" s="7"/>
      <c r="M6" s="7"/>
      <c r="N6" s="7"/>
      <c r="O6" s="7"/>
      <c r="P6" s="7"/>
    </row>
    <row r="7" spans="1:16" x14ac:dyDescent="0.2">
      <c r="A7" s="5"/>
      <c r="B7" t="str">
        <f t="shared" si="0"/>
        <v>.byte &gt;(</v>
      </c>
      <c r="C7" s="2" t="str">
        <f t="shared" si="1"/>
        <v>SCREEN_RAM</v>
      </c>
      <c r="D7" t="str">
        <f t="shared" si="2"/>
        <v xml:space="preserve"> + (SCREEN_WIDTH * </v>
      </c>
      <c r="E7">
        <v>2</v>
      </c>
      <c r="F7" t="s">
        <v>0</v>
      </c>
      <c r="G7" s="3" t="str">
        <f t="shared" si="3"/>
        <v>.byte &gt;(SCREEN_RAM + (SCREEN_WIDTH * 2))</v>
      </c>
      <c r="H7" s="5"/>
      <c r="I7" s="7"/>
      <c r="J7" s="7"/>
      <c r="K7" s="7"/>
      <c r="L7" s="7"/>
      <c r="M7" s="7"/>
      <c r="N7" s="7"/>
      <c r="O7" s="7"/>
      <c r="P7" s="7"/>
    </row>
    <row r="8" spans="1:16" x14ac:dyDescent="0.2">
      <c r="A8" s="5"/>
      <c r="B8" t="str">
        <f t="shared" si="0"/>
        <v>.byte &gt;(</v>
      </c>
      <c r="C8" s="2" t="str">
        <f t="shared" si="1"/>
        <v>SCREEN_RAM</v>
      </c>
      <c r="D8" t="str">
        <f t="shared" si="2"/>
        <v xml:space="preserve"> + (SCREEN_WIDTH * </v>
      </c>
      <c r="E8">
        <v>3</v>
      </c>
      <c r="F8" t="s">
        <v>0</v>
      </c>
      <c r="G8" s="3" t="str">
        <f t="shared" si="3"/>
        <v>.byte &gt;(SCREEN_RAM + (SCREEN_WIDTH * 3))</v>
      </c>
      <c r="H8" s="5"/>
      <c r="I8" s="7"/>
      <c r="J8" s="7"/>
      <c r="K8" s="7"/>
      <c r="L8" s="7"/>
      <c r="M8" s="7"/>
      <c r="N8" s="7"/>
      <c r="O8" s="7"/>
      <c r="P8" s="7"/>
    </row>
    <row r="9" spans="1:16" x14ac:dyDescent="0.2">
      <c r="A9" s="5"/>
      <c r="B9" t="str">
        <f t="shared" si="0"/>
        <v>.byte &gt;(</v>
      </c>
      <c r="C9" s="2" t="str">
        <f t="shared" si="1"/>
        <v>SCREEN_RAM</v>
      </c>
      <c r="D9" t="str">
        <f t="shared" si="2"/>
        <v xml:space="preserve"> + (SCREEN_WIDTH * </v>
      </c>
      <c r="E9">
        <v>4</v>
      </c>
      <c r="F9" t="s">
        <v>0</v>
      </c>
      <c r="G9" s="3" t="str">
        <f t="shared" si="3"/>
        <v>.byte &gt;(SCREEN_RAM + (SCREEN_WIDTH * 4))</v>
      </c>
      <c r="H9" s="5"/>
      <c r="I9" s="7"/>
      <c r="J9" s="7"/>
      <c r="K9" s="7"/>
      <c r="L9" s="7"/>
      <c r="M9" s="7"/>
      <c r="N9" s="7"/>
      <c r="O9" s="7"/>
      <c r="P9" s="7"/>
    </row>
    <row r="10" spans="1:16" x14ac:dyDescent="0.2">
      <c r="A10" s="5"/>
      <c r="B10" t="str">
        <f t="shared" si="0"/>
        <v>.byte &gt;(</v>
      </c>
      <c r="C10" s="2" t="str">
        <f t="shared" si="1"/>
        <v>SCREEN_RAM</v>
      </c>
      <c r="D10" t="str">
        <f t="shared" si="2"/>
        <v xml:space="preserve"> + (SCREEN_WIDTH * </v>
      </c>
      <c r="E10">
        <v>5</v>
      </c>
      <c r="F10" t="s">
        <v>0</v>
      </c>
      <c r="G10" s="3" t="str">
        <f t="shared" si="3"/>
        <v>.byte &gt;(SCREEN_RAM + (SCREEN_WIDTH * 5))</v>
      </c>
      <c r="H10" s="5"/>
      <c r="I10" s="7"/>
      <c r="J10" s="7"/>
      <c r="K10" s="7"/>
      <c r="L10" s="7"/>
      <c r="M10" s="7"/>
      <c r="N10" s="7"/>
      <c r="O10" s="7"/>
      <c r="P10" s="7"/>
    </row>
    <row r="11" spans="1:16" x14ac:dyDescent="0.2">
      <c r="A11" s="5"/>
      <c r="B11" t="str">
        <f t="shared" si="0"/>
        <v>.byte &gt;(</v>
      </c>
      <c r="C11" s="2" t="str">
        <f t="shared" si="1"/>
        <v>SCREEN_RAM</v>
      </c>
      <c r="D11" t="str">
        <f t="shared" si="2"/>
        <v xml:space="preserve"> + (SCREEN_WIDTH * </v>
      </c>
      <c r="E11">
        <v>6</v>
      </c>
      <c r="F11" t="s">
        <v>0</v>
      </c>
      <c r="G11" s="3" t="str">
        <f t="shared" si="3"/>
        <v>.byte &gt;(SCREEN_RAM + (SCREEN_WIDTH * 6))</v>
      </c>
      <c r="H11" s="5"/>
      <c r="I11" s="7"/>
      <c r="J11" s="7"/>
      <c r="K11" s="7"/>
      <c r="L11" s="7"/>
      <c r="M11" s="7"/>
      <c r="N11" s="7"/>
      <c r="O11" s="7"/>
      <c r="P11" s="7"/>
    </row>
    <row r="12" spans="1:16" x14ac:dyDescent="0.2">
      <c r="A12" s="5"/>
      <c r="B12" t="str">
        <f t="shared" si="0"/>
        <v>.byte &gt;(</v>
      </c>
      <c r="C12" s="2" t="str">
        <f t="shared" si="1"/>
        <v>SCREEN_RAM</v>
      </c>
      <c r="D12" t="str">
        <f t="shared" si="2"/>
        <v xml:space="preserve"> + (SCREEN_WIDTH * </v>
      </c>
      <c r="E12">
        <v>7</v>
      </c>
      <c r="F12" t="s">
        <v>0</v>
      </c>
      <c r="G12" s="3" t="str">
        <f t="shared" si="3"/>
        <v>.byte &gt;(SCREEN_RAM + (SCREEN_WIDTH * 7))</v>
      </c>
      <c r="H12" s="5"/>
      <c r="I12" s="7"/>
      <c r="J12" s="7"/>
      <c r="K12" s="7"/>
      <c r="L12" s="7"/>
      <c r="M12" s="7"/>
      <c r="N12" s="7"/>
      <c r="O12" s="7"/>
      <c r="P12" s="7"/>
    </row>
    <row r="13" spans="1:16" x14ac:dyDescent="0.2">
      <c r="A13" s="5"/>
      <c r="B13" t="str">
        <f t="shared" si="0"/>
        <v>.byte &gt;(</v>
      </c>
      <c r="C13" s="2" t="str">
        <f t="shared" si="1"/>
        <v>SCREEN_RAM</v>
      </c>
      <c r="D13" t="str">
        <f t="shared" si="2"/>
        <v xml:space="preserve"> + (SCREEN_WIDTH * </v>
      </c>
      <c r="E13">
        <v>8</v>
      </c>
      <c r="F13" t="s">
        <v>0</v>
      </c>
      <c r="G13" s="3" t="str">
        <f t="shared" si="3"/>
        <v>.byte &gt;(SCREEN_RAM + (SCREEN_WIDTH * 8))</v>
      </c>
      <c r="H13" s="5"/>
      <c r="I13" s="7"/>
      <c r="J13" s="7"/>
      <c r="K13" s="7"/>
      <c r="L13" s="7"/>
      <c r="M13" s="7"/>
      <c r="N13" s="7"/>
      <c r="O13" s="7"/>
      <c r="P13" s="7"/>
    </row>
    <row r="14" spans="1:16" x14ac:dyDescent="0.2">
      <c r="A14" s="5"/>
      <c r="B14" t="str">
        <f t="shared" si="0"/>
        <v>.byte &gt;(</v>
      </c>
      <c r="C14" s="2" t="str">
        <f t="shared" si="1"/>
        <v>SCREEN_RAM</v>
      </c>
      <c r="D14" t="str">
        <f t="shared" si="2"/>
        <v xml:space="preserve"> + (SCREEN_WIDTH * </v>
      </c>
      <c r="E14">
        <v>9</v>
      </c>
      <c r="F14" t="s">
        <v>0</v>
      </c>
      <c r="G14" s="3" t="str">
        <f t="shared" si="3"/>
        <v>.byte &gt;(SCREEN_RAM + (SCREEN_WIDTH * 9))</v>
      </c>
      <c r="H14" s="5"/>
      <c r="I14" s="7"/>
      <c r="J14" s="7"/>
      <c r="K14" s="7"/>
      <c r="L14" s="7"/>
      <c r="M14" s="7"/>
      <c r="N14" s="7"/>
      <c r="O14" s="7"/>
      <c r="P14" s="7"/>
    </row>
    <row r="15" spans="1:16" x14ac:dyDescent="0.2">
      <c r="A15" s="5"/>
      <c r="B15" t="str">
        <f t="shared" si="0"/>
        <v>.byte &gt;(</v>
      </c>
      <c r="C15" s="2" t="str">
        <f t="shared" si="1"/>
        <v>SCREEN_RAM</v>
      </c>
      <c r="D15" t="str">
        <f t="shared" si="2"/>
        <v xml:space="preserve"> + (SCREEN_WIDTH * </v>
      </c>
      <c r="E15">
        <v>10</v>
      </c>
      <c r="F15" t="s">
        <v>0</v>
      </c>
      <c r="G15" s="3" t="str">
        <f t="shared" si="3"/>
        <v>.byte &gt;(SCREEN_RAM + (SCREEN_WIDTH * 10))</v>
      </c>
      <c r="H15" s="5"/>
      <c r="I15" s="7"/>
      <c r="J15" s="7"/>
      <c r="K15" s="7"/>
      <c r="L15" s="7"/>
      <c r="M15" s="7"/>
      <c r="N15" s="7"/>
      <c r="O15" s="7"/>
      <c r="P15" s="7"/>
    </row>
    <row r="16" spans="1:16" x14ac:dyDescent="0.2">
      <c r="A16" s="5"/>
      <c r="B16" t="str">
        <f t="shared" si="0"/>
        <v>.byte &gt;(</v>
      </c>
      <c r="C16" s="2" t="str">
        <f t="shared" si="1"/>
        <v>SCREEN_RAM</v>
      </c>
      <c r="D16" t="str">
        <f t="shared" si="2"/>
        <v xml:space="preserve"> + (SCREEN_WIDTH * </v>
      </c>
      <c r="E16">
        <v>11</v>
      </c>
      <c r="F16" t="s">
        <v>0</v>
      </c>
      <c r="G16" s="3" t="str">
        <f t="shared" si="3"/>
        <v>.byte &gt;(SCREEN_RAM + (SCREEN_WIDTH * 11))</v>
      </c>
      <c r="H16" s="5"/>
      <c r="I16" s="7"/>
      <c r="J16" s="7"/>
      <c r="K16" s="7"/>
      <c r="L16" s="7"/>
      <c r="M16" s="7"/>
      <c r="N16" s="7"/>
      <c r="O16" s="7"/>
      <c r="P16" s="7"/>
    </row>
    <row r="17" spans="1:16" x14ac:dyDescent="0.2">
      <c r="A17" s="5"/>
      <c r="B17" t="str">
        <f t="shared" si="0"/>
        <v>.byte &gt;(</v>
      </c>
      <c r="C17" s="2" t="str">
        <f t="shared" si="1"/>
        <v>SCREEN_RAM</v>
      </c>
      <c r="D17" t="str">
        <f t="shared" si="2"/>
        <v xml:space="preserve"> + (SCREEN_WIDTH * </v>
      </c>
      <c r="E17">
        <v>12</v>
      </c>
      <c r="F17" t="s">
        <v>0</v>
      </c>
      <c r="G17" s="3" t="str">
        <f t="shared" si="3"/>
        <v>.byte &gt;(SCREEN_RAM + (SCREEN_WIDTH * 12))</v>
      </c>
      <c r="H17" s="5"/>
      <c r="I17" s="7"/>
      <c r="J17" s="7"/>
      <c r="K17" s="7"/>
      <c r="L17" s="7"/>
      <c r="M17" s="7"/>
      <c r="N17" s="7"/>
      <c r="O17" s="7"/>
      <c r="P17" s="7"/>
    </row>
    <row r="18" spans="1:16" x14ac:dyDescent="0.2">
      <c r="A18" s="5"/>
      <c r="B18" t="str">
        <f t="shared" si="0"/>
        <v>.byte &gt;(</v>
      </c>
      <c r="C18" s="2" t="str">
        <f t="shared" si="1"/>
        <v>SCREEN_RAM</v>
      </c>
      <c r="D18" t="str">
        <f t="shared" si="2"/>
        <v xml:space="preserve"> + (SCREEN_WIDTH * </v>
      </c>
      <c r="E18">
        <v>13</v>
      </c>
      <c r="F18" t="s">
        <v>0</v>
      </c>
      <c r="G18" s="3" t="str">
        <f t="shared" si="3"/>
        <v>.byte &gt;(SCREEN_RAM + (SCREEN_WIDTH * 13))</v>
      </c>
      <c r="H18" s="5"/>
      <c r="I18" s="7"/>
      <c r="J18" s="7"/>
      <c r="K18" s="7"/>
      <c r="L18" s="7"/>
      <c r="M18" s="7"/>
      <c r="N18" s="7"/>
      <c r="O18" s="7"/>
      <c r="P18" s="7"/>
    </row>
    <row r="19" spans="1:16" x14ac:dyDescent="0.2">
      <c r="A19" s="5"/>
      <c r="B19" t="str">
        <f t="shared" si="0"/>
        <v>.byte &gt;(</v>
      </c>
      <c r="C19" s="2" t="str">
        <f t="shared" si="1"/>
        <v>SCREEN_RAM</v>
      </c>
      <c r="D19" t="str">
        <f t="shared" si="2"/>
        <v xml:space="preserve"> + (SCREEN_WIDTH * </v>
      </c>
      <c r="E19">
        <v>14</v>
      </c>
      <c r="F19" t="s">
        <v>0</v>
      </c>
      <c r="G19" s="3" t="str">
        <f t="shared" si="3"/>
        <v>.byte &gt;(SCREEN_RAM + (SCREEN_WIDTH * 14))</v>
      </c>
      <c r="H19" s="5"/>
      <c r="I19" s="7"/>
      <c r="J19" s="7"/>
      <c r="K19" s="7"/>
      <c r="L19" s="7"/>
      <c r="M19" s="7"/>
      <c r="N19" s="7"/>
      <c r="O19" s="7"/>
      <c r="P19" s="7"/>
    </row>
    <row r="20" spans="1:16" x14ac:dyDescent="0.2">
      <c r="A20" s="5"/>
      <c r="B20" t="str">
        <f t="shared" si="0"/>
        <v>.byte &gt;(</v>
      </c>
      <c r="C20" s="2" t="str">
        <f t="shared" si="1"/>
        <v>SCREEN_RAM</v>
      </c>
      <c r="D20" t="str">
        <f t="shared" si="2"/>
        <v xml:space="preserve"> + (SCREEN_WIDTH * </v>
      </c>
      <c r="E20">
        <v>15</v>
      </c>
      <c r="F20" t="s">
        <v>0</v>
      </c>
      <c r="G20" s="3" t="str">
        <f t="shared" si="3"/>
        <v>.byte &gt;(SCREEN_RAM + (SCREEN_WIDTH * 15))</v>
      </c>
      <c r="H20" s="5"/>
      <c r="I20" s="7"/>
      <c r="J20" s="7"/>
      <c r="K20" s="7"/>
      <c r="L20" s="7"/>
      <c r="M20" s="7"/>
      <c r="N20" s="7"/>
      <c r="O20" s="7"/>
      <c r="P20" s="7"/>
    </row>
    <row r="21" spans="1:16" x14ac:dyDescent="0.2">
      <c r="A21" s="5"/>
      <c r="B21" t="str">
        <f t="shared" si="0"/>
        <v>.byte &gt;(</v>
      </c>
      <c r="C21" s="2" t="str">
        <f t="shared" si="1"/>
        <v>SCREEN_RAM</v>
      </c>
      <c r="D21" t="str">
        <f t="shared" si="2"/>
        <v xml:space="preserve"> + (SCREEN_WIDTH * </v>
      </c>
      <c r="E21">
        <v>16</v>
      </c>
      <c r="F21" t="s">
        <v>0</v>
      </c>
      <c r="G21" s="3" t="str">
        <f t="shared" si="3"/>
        <v>.byte &gt;(SCREEN_RAM + (SCREEN_WIDTH * 16))</v>
      </c>
      <c r="H21" s="5"/>
      <c r="I21" s="7"/>
      <c r="J21" s="7"/>
      <c r="K21" s="7"/>
      <c r="L21" s="7"/>
      <c r="M21" s="7"/>
      <c r="N21" s="7"/>
      <c r="O21" s="7"/>
      <c r="P21" s="7"/>
    </row>
    <row r="22" spans="1:16" x14ac:dyDescent="0.2">
      <c r="A22" s="5"/>
      <c r="B22" t="str">
        <f t="shared" si="0"/>
        <v>.byte &gt;(</v>
      </c>
      <c r="C22" s="2" t="str">
        <f t="shared" si="1"/>
        <v>SCREEN_RAM</v>
      </c>
      <c r="D22" t="str">
        <f t="shared" si="2"/>
        <v xml:space="preserve"> + (SCREEN_WIDTH * </v>
      </c>
      <c r="E22">
        <v>17</v>
      </c>
      <c r="F22" t="s">
        <v>0</v>
      </c>
      <c r="G22" s="3" t="str">
        <f t="shared" si="3"/>
        <v>.byte &gt;(SCREEN_RAM + (SCREEN_WIDTH * 17))</v>
      </c>
      <c r="H22" s="5"/>
      <c r="I22" s="7"/>
      <c r="J22" s="7"/>
      <c r="K22" s="7"/>
      <c r="L22" s="7"/>
      <c r="M22" s="7"/>
      <c r="N22" s="7"/>
      <c r="O22" s="7"/>
      <c r="P22" s="7"/>
    </row>
    <row r="23" spans="1:16" x14ac:dyDescent="0.2">
      <c r="A23" s="5"/>
      <c r="B23" t="str">
        <f t="shared" si="0"/>
        <v>.byte &gt;(</v>
      </c>
      <c r="C23" s="2" t="str">
        <f t="shared" si="1"/>
        <v>SCREEN_RAM</v>
      </c>
      <c r="D23" t="str">
        <f t="shared" si="2"/>
        <v xml:space="preserve"> + (SCREEN_WIDTH * </v>
      </c>
      <c r="E23">
        <v>18</v>
      </c>
      <c r="F23" t="s">
        <v>0</v>
      </c>
      <c r="G23" s="3" t="str">
        <f t="shared" si="3"/>
        <v>.byte &gt;(SCREEN_RAM + (SCREEN_WIDTH * 18))</v>
      </c>
      <c r="H23" s="5"/>
      <c r="I23" s="7"/>
      <c r="J23" s="7"/>
      <c r="K23" s="7"/>
      <c r="L23" s="7"/>
      <c r="M23" s="7"/>
      <c r="N23" s="7"/>
      <c r="O23" s="7"/>
      <c r="P23" s="7"/>
    </row>
    <row r="24" spans="1:16" x14ac:dyDescent="0.2">
      <c r="A24" s="5"/>
      <c r="B24" t="str">
        <f t="shared" si="0"/>
        <v>.byte &gt;(</v>
      </c>
      <c r="C24" s="2" t="str">
        <f t="shared" si="1"/>
        <v>SCREEN_RAM</v>
      </c>
      <c r="D24" t="str">
        <f t="shared" si="2"/>
        <v xml:space="preserve"> + (SCREEN_WIDTH * </v>
      </c>
      <c r="E24">
        <v>19</v>
      </c>
      <c r="F24" t="s">
        <v>0</v>
      </c>
      <c r="G24" s="3" t="str">
        <f t="shared" si="3"/>
        <v>.byte &gt;(SCREEN_RAM + (SCREEN_WIDTH * 19))</v>
      </c>
      <c r="H24" s="5"/>
      <c r="I24" s="7"/>
      <c r="J24" s="7"/>
      <c r="K24" s="7"/>
      <c r="L24" s="7"/>
      <c r="M24" s="7"/>
      <c r="N24" s="7"/>
      <c r="O24" s="7"/>
      <c r="P24" s="7"/>
    </row>
    <row r="25" spans="1:16" x14ac:dyDescent="0.2">
      <c r="A25" s="5"/>
      <c r="B25" t="str">
        <f t="shared" si="0"/>
        <v>.byte &gt;(</v>
      </c>
      <c r="C25" s="2" t="str">
        <f t="shared" si="1"/>
        <v>SCREEN_RAM</v>
      </c>
      <c r="D25" t="str">
        <f t="shared" si="2"/>
        <v xml:space="preserve"> + (SCREEN_WIDTH * </v>
      </c>
      <c r="E25">
        <v>20</v>
      </c>
      <c r="F25" t="s">
        <v>0</v>
      </c>
      <c r="G25" s="3" t="str">
        <f t="shared" si="3"/>
        <v>.byte &gt;(SCREEN_RAM + (SCREEN_WIDTH * 20))</v>
      </c>
      <c r="H25" s="5"/>
      <c r="I25" s="7"/>
      <c r="J25" s="7"/>
      <c r="K25" s="7"/>
      <c r="L25" s="7"/>
      <c r="M25" s="7"/>
      <c r="N25" s="7"/>
      <c r="O25" s="7"/>
      <c r="P25" s="7"/>
    </row>
    <row r="26" spans="1:16" x14ac:dyDescent="0.2">
      <c r="A26" s="5"/>
      <c r="B26" t="str">
        <f t="shared" si="0"/>
        <v>.byte &gt;(</v>
      </c>
      <c r="C26" s="2" t="str">
        <f t="shared" si="1"/>
        <v>SCREEN_RAM</v>
      </c>
      <c r="D26" t="str">
        <f t="shared" si="2"/>
        <v xml:space="preserve"> + (SCREEN_WIDTH * </v>
      </c>
      <c r="E26">
        <v>21</v>
      </c>
      <c r="F26" t="s">
        <v>0</v>
      </c>
      <c r="G26" s="3" t="str">
        <f t="shared" si="3"/>
        <v>.byte &gt;(SCREEN_RAM + (SCREEN_WIDTH * 21))</v>
      </c>
      <c r="H26" s="5"/>
      <c r="I26" s="7"/>
      <c r="J26" s="7"/>
      <c r="K26" s="7"/>
      <c r="L26" s="7"/>
      <c r="M26" s="7"/>
      <c r="N26" s="7"/>
      <c r="O26" s="7"/>
      <c r="P26" s="7"/>
    </row>
    <row r="27" spans="1:16" x14ac:dyDescent="0.2">
      <c r="A27" s="5"/>
      <c r="B27" t="str">
        <f t="shared" si="0"/>
        <v>.byte &gt;(</v>
      </c>
      <c r="C27" s="2" t="str">
        <f t="shared" si="1"/>
        <v>SCREEN_RAM</v>
      </c>
      <c r="D27" t="str">
        <f t="shared" si="2"/>
        <v xml:space="preserve"> + (SCREEN_WIDTH * </v>
      </c>
      <c r="E27">
        <v>22</v>
      </c>
      <c r="F27" t="s">
        <v>0</v>
      </c>
      <c r="G27" s="3" t="str">
        <f t="shared" si="3"/>
        <v>.byte &gt;(SCREEN_RAM + (SCREEN_WIDTH * 22))</v>
      </c>
      <c r="H27" s="5"/>
      <c r="I27" s="7"/>
      <c r="J27" s="7"/>
      <c r="K27" s="7"/>
      <c r="L27" s="7"/>
      <c r="M27" s="7"/>
      <c r="N27" s="7"/>
      <c r="O27" s="7"/>
      <c r="P27" s="7"/>
    </row>
    <row r="28" spans="1:16" x14ac:dyDescent="0.2">
      <c r="A28" s="5"/>
      <c r="B28" t="str">
        <f t="shared" si="0"/>
        <v>.byte &gt;(</v>
      </c>
      <c r="C28" s="2" t="str">
        <f t="shared" si="1"/>
        <v>SCREEN_RAM</v>
      </c>
      <c r="D28" t="str">
        <f t="shared" si="2"/>
        <v xml:space="preserve"> + (SCREEN_WIDTH * </v>
      </c>
      <c r="E28">
        <v>23</v>
      </c>
      <c r="F28" t="s">
        <v>0</v>
      </c>
      <c r="G28" s="3" t="str">
        <f t="shared" si="3"/>
        <v>.byte &gt;(SCREEN_RAM + (SCREEN_WIDTH * 23))</v>
      </c>
      <c r="H28" s="5"/>
      <c r="I28" s="7"/>
      <c r="J28" s="7"/>
      <c r="K28" s="7"/>
      <c r="L28" s="7"/>
      <c r="M28" s="7"/>
      <c r="N28" s="7"/>
      <c r="O28" s="7"/>
      <c r="P28" s="7"/>
    </row>
    <row r="29" spans="1:16" x14ac:dyDescent="0.2">
      <c r="A29" s="5"/>
      <c r="B29" t="str">
        <f>".byte " &amp;$B$3&amp;"("</f>
        <v>.byte &gt;(</v>
      </c>
      <c r="C29" s="2" t="str">
        <f t="shared" si="1"/>
        <v>SCREEN_RAM</v>
      </c>
      <c r="D29" t="str">
        <f t="shared" si="2"/>
        <v xml:space="preserve"> + (SCREEN_WIDTH * </v>
      </c>
      <c r="E29">
        <v>24</v>
      </c>
      <c r="F29" t="s">
        <v>0</v>
      </c>
      <c r="G29" s="3" t="str">
        <f t="shared" si="3"/>
        <v>.byte &gt;(SCREEN_RAM + (SCREEN_WIDTH * 24))</v>
      </c>
      <c r="H29" s="5"/>
      <c r="I29" s="7"/>
      <c r="J29" s="7"/>
      <c r="K29" s="7"/>
      <c r="L29" s="7"/>
      <c r="M29" s="7"/>
      <c r="N29" s="7"/>
      <c r="O29" s="7"/>
      <c r="P29" s="7"/>
    </row>
    <row r="30" spans="1:16" x14ac:dyDescent="0.2">
      <c r="A30" s="5"/>
      <c r="B30" s="5"/>
      <c r="C30" s="5"/>
      <c r="D30" s="5"/>
      <c r="E30" s="5"/>
      <c r="F30" s="5"/>
      <c r="G30" s="5"/>
      <c r="H30" s="5"/>
      <c r="I30" s="7"/>
      <c r="J30" s="7"/>
      <c r="K30" s="7"/>
      <c r="L30" s="7"/>
      <c r="M30" s="7"/>
      <c r="N30" s="7"/>
      <c r="O30" s="7"/>
      <c r="P30" s="7"/>
    </row>
    <row r="31" spans="1:16" x14ac:dyDescent="0.2">
      <c r="A31" s="5"/>
      <c r="B31" s="5"/>
      <c r="C31" s="5"/>
      <c r="D31" s="5"/>
      <c r="E31" s="5"/>
      <c r="F31" s="5"/>
      <c r="G31" s="5"/>
      <c r="H31" s="5"/>
      <c r="I31" s="7"/>
      <c r="J31" s="7"/>
      <c r="K31" s="7"/>
      <c r="L31" s="7"/>
      <c r="M31" s="7"/>
      <c r="N31" s="7"/>
      <c r="O31" s="7"/>
      <c r="P31" s="7"/>
    </row>
    <row r="32" spans="1:16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1:16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1:16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1:16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1:16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1:16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1:16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1:16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pyScreenTable">
                <anchor moveWithCells="1" sizeWithCells="1">
                  <from>
                    <xdr:col>6</xdr:col>
                    <xdr:colOff>1054100</xdr:colOff>
                    <xdr:row>0</xdr:row>
                    <xdr:rowOff>139700</xdr:rowOff>
                  </from>
                  <to>
                    <xdr:col>6</xdr:col>
                    <xdr:colOff>2578100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2</xdr:col>
                    <xdr:colOff>12700</xdr:colOff>
                    <xdr:row>2</xdr:row>
                    <xdr:rowOff>0</xdr:rowOff>
                  </from>
                  <to>
                    <xdr:col>3</xdr:col>
                    <xdr:colOff>381000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8C1B-653F-CC48-9F2C-3F5084365959}">
  <sheetPr codeName="Ark2"/>
  <dimension ref="A1:R72"/>
  <sheetViews>
    <sheetView tabSelected="1" workbookViewId="0">
      <selection activeCell="I4" sqref="I4:I68"/>
    </sheetView>
  </sheetViews>
  <sheetFormatPr baseColWidth="10" defaultRowHeight="16" x14ac:dyDescent="0.2"/>
  <cols>
    <col min="3" max="3" width="27.1640625" customWidth="1"/>
    <col min="9" max="9" width="41.33203125" bestFit="1" customWidth="1"/>
  </cols>
  <sheetData>
    <row r="1" spans="1:18" x14ac:dyDescent="0.2">
      <c r="A1" s="5"/>
      <c r="B1" s="7" t="s">
        <v>3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x14ac:dyDescent="0.2">
      <c r="A2" s="5"/>
      <c r="B2" s="7" t="s">
        <v>5</v>
      </c>
      <c r="C2" s="5"/>
      <c r="D2" s="5"/>
      <c r="E2" s="5"/>
      <c r="F2" s="5"/>
      <c r="G2" s="5"/>
      <c r="H2" s="5"/>
      <c r="I2" s="5"/>
      <c r="J2" s="7"/>
      <c r="K2" s="7" t="s">
        <v>9</v>
      </c>
      <c r="L2" s="5"/>
      <c r="M2" s="5"/>
      <c r="N2" s="5"/>
      <c r="O2" s="5"/>
      <c r="P2" s="5"/>
      <c r="Q2" s="5"/>
      <c r="R2" s="5"/>
    </row>
    <row r="3" spans="1:18" x14ac:dyDescent="0.2">
      <c r="A3" s="7">
        <v>2</v>
      </c>
      <c r="B3" s="1" t="str">
        <f>IF(A3=1,B1,B2)</f>
        <v>&gt;</v>
      </c>
      <c r="C3" s="1" t="s">
        <v>11</v>
      </c>
      <c r="D3" s="5"/>
      <c r="E3" s="8" t="s">
        <v>2</v>
      </c>
      <c r="F3" s="5"/>
      <c r="G3" s="5"/>
      <c r="H3" s="5"/>
      <c r="I3" s="5"/>
      <c r="J3" s="7" t="s">
        <v>12</v>
      </c>
      <c r="K3" s="7" t="s">
        <v>10</v>
      </c>
      <c r="L3" s="5"/>
      <c r="M3" s="5"/>
      <c r="N3" s="5"/>
      <c r="O3" s="5"/>
      <c r="P3" s="5"/>
      <c r="Q3" s="5"/>
      <c r="R3" s="5"/>
    </row>
    <row r="4" spans="1:18" x14ac:dyDescent="0.2">
      <c r="A4" s="5"/>
      <c r="B4" s="5"/>
      <c r="C4" s="5"/>
      <c r="D4" s="5"/>
      <c r="E4" s="5"/>
      <c r="F4" s="5"/>
      <c r="G4" s="5"/>
      <c r="H4" s="5"/>
      <c r="I4" s="4" t="str">
        <f>J3&amp;K4&amp;":"</f>
        <v>Room_HI:</v>
      </c>
      <c r="J4" s="7"/>
      <c r="K4" s="7" t="str">
        <f>IF($B$3="&lt;",K2,K3)</f>
        <v>HI</v>
      </c>
      <c r="L4" s="5"/>
      <c r="M4" s="5"/>
      <c r="N4" s="5"/>
      <c r="O4" s="5"/>
      <c r="P4" s="5"/>
      <c r="Q4" s="5"/>
      <c r="R4" s="5"/>
    </row>
    <row r="5" spans="1:18" x14ac:dyDescent="0.2">
      <c r="A5" s="5"/>
      <c r="B5" t="str">
        <f>".byte "&amp;$B$3&amp;"("</f>
        <v>.byte &gt;(</v>
      </c>
      <c r="C5" t="str">
        <f>$C$3</f>
        <v>ROOMS_ADDRESS</v>
      </c>
      <c r="D5" t="str">
        <f>" + ("</f>
        <v xml:space="preserve"> + (</v>
      </c>
      <c r="E5" t="str">
        <f>$E$3</f>
        <v>ROOM_SIZE</v>
      </c>
      <c r="F5" t="str">
        <f>" * "</f>
        <v xml:space="preserve"> * </v>
      </c>
      <c r="G5">
        <v>0</v>
      </c>
      <c r="H5" t="str">
        <f>"))"</f>
        <v>))</v>
      </c>
      <c r="I5" s="3" t="str">
        <f>B5&amp;C5&amp;D5&amp;E5&amp;F5&amp;G5&amp;H5</f>
        <v>.byte &gt;(ROOMS_ADDRESS + (ROOM_SIZE * 0))</v>
      </c>
      <c r="J5" s="5"/>
      <c r="K5" s="5"/>
      <c r="L5" s="5"/>
      <c r="M5" s="5"/>
      <c r="N5" s="5"/>
      <c r="O5" s="5"/>
      <c r="P5" s="5"/>
      <c r="Q5" s="5"/>
      <c r="R5" s="5"/>
    </row>
    <row r="6" spans="1:18" x14ac:dyDescent="0.2">
      <c r="A6" s="5"/>
      <c r="B6" t="str">
        <f t="shared" ref="B6:B68" si="0">".byte "&amp;$B$3&amp;"("</f>
        <v>.byte &gt;(</v>
      </c>
      <c r="C6" t="str">
        <f t="shared" ref="C6:C68" si="1">$C$3</f>
        <v>ROOMS_ADDRESS</v>
      </c>
      <c r="D6" t="str">
        <f t="shared" ref="D6:D68" si="2">" + ("</f>
        <v xml:space="preserve"> + (</v>
      </c>
      <c r="E6" t="str">
        <f t="shared" ref="E6:E68" si="3">$E$3</f>
        <v>ROOM_SIZE</v>
      </c>
      <c r="F6" t="str">
        <f t="shared" ref="F6:F68" si="4">" * "</f>
        <v xml:space="preserve"> * </v>
      </c>
      <c r="G6">
        <v>1</v>
      </c>
      <c r="H6" t="str">
        <f t="shared" ref="H6:H68" si="5">"))"</f>
        <v>))</v>
      </c>
      <c r="I6" s="3" t="str">
        <f t="shared" ref="I6:I68" si="6">B6&amp;C6&amp;D6&amp;E6&amp;F6&amp;G6&amp;H6</f>
        <v>.byte &gt;(ROOMS_ADDRESS + (ROOM_SIZE * 1))</v>
      </c>
      <c r="J6" s="5"/>
      <c r="K6" s="5"/>
      <c r="L6" s="5"/>
      <c r="M6" s="5"/>
      <c r="N6" s="5"/>
      <c r="O6" s="5"/>
      <c r="P6" s="5"/>
      <c r="Q6" s="5"/>
      <c r="R6" s="5"/>
    </row>
    <row r="7" spans="1:18" x14ac:dyDescent="0.2">
      <c r="A7" s="5"/>
      <c r="B7" t="str">
        <f t="shared" si="0"/>
        <v>.byte &gt;(</v>
      </c>
      <c r="C7" t="str">
        <f t="shared" si="1"/>
        <v>ROOMS_ADDRESS</v>
      </c>
      <c r="D7" t="str">
        <f t="shared" si="2"/>
        <v xml:space="preserve"> + (</v>
      </c>
      <c r="E7" t="str">
        <f t="shared" si="3"/>
        <v>ROOM_SIZE</v>
      </c>
      <c r="F7" t="str">
        <f t="shared" si="4"/>
        <v xml:space="preserve"> * </v>
      </c>
      <c r="G7">
        <v>2</v>
      </c>
      <c r="H7" t="str">
        <f t="shared" si="5"/>
        <v>))</v>
      </c>
      <c r="I7" s="3" t="str">
        <f t="shared" si="6"/>
        <v>.byte &gt;(ROOMS_ADDRESS + (ROOM_SIZE * 2))</v>
      </c>
      <c r="J7" s="5"/>
      <c r="K7" s="5"/>
      <c r="L7" s="5"/>
      <c r="M7" s="5"/>
      <c r="N7" s="5"/>
      <c r="O7" s="5"/>
      <c r="P7" s="5"/>
      <c r="Q7" s="5"/>
      <c r="R7" s="5"/>
    </row>
    <row r="8" spans="1:18" x14ac:dyDescent="0.2">
      <c r="A8" s="5"/>
      <c r="B8" t="str">
        <f t="shared" si="0"/>
        <v>.byte &gt;(</v>
      </c>
      <c r="C8" t="str">
        <f t="shared" si="1"/>
        <v>ROOMS_ADDRESS</v>
      </c>
      <c r="D8" t="str">
        <f t="shared" si="2"/>
        <v xml:space="preserve"> + (</v>
      </c>
      <c r="E8" t="str">
        <f t="shared" si="3"/>
        <v>ROOM_SIZE</v>
      </c>
      <c r="F8" t="str">
        <f t="shared" si="4"/>
        <v xml:space="preserve"> * </v>
      </c>
      <c r="G8">
        <v>3</v>
      </c>
      <c r="H8" t="str">
        <f t="shared" si="5"/>
        <v>))</v>
      </c>
      <c r="I8" s="3" t="str">
        <f t="shared" si="6"/>
        <v>.byte &gt;(ROOMS_ADDRESS + (ROOM_SIZE * 3))</v>
      </c>
      <c r="J8" s="5"/>
      <c r="K8" s="5"/>
      <c r="L8" s="5"/>
      <c r="M8" s="5"/>
      <c r="N8" s="5"/>
      <c r="O8" s="5"/>
      <c r="P8" s="5"/>
      <c r="Q8" s="5"/>
      <c r="R8" s="5"/>
    </row>
    <row r="9" spans="1:18" x14ac:dyDescent="0.2">
      <c r="A9" s="5"/>
      <c r="B9" t="str">
        <f t="shared" si="0"/>
        <v>.byte &gt;(</v>
      </c>
      <c r="C9" t="str">
        <f t="shared" si="1"/>
        <v>ROOMS_ADDRESS</v>
      </c>
      <c r="D9" t="str">
        <f t="shared" si="2"/>
        <v xml:space="preserve"> + (</v>
      </c>
      <c r="E9" t="str">
        <f t="shared" si="3"/>
        <v>ROOM_SIZE</v>
      </c>
      <c r="F9" t="str">
        <f t="shared" si="4"/>
        <v xml:space="preserve"> * </v>
      </c>
      <c r="G9">
        <v>4</v>
      </c>
      <c r="H9" t="str">
        <f t="shared" si="5"/>
        <v>))</v>
      </c>
      <c r="I9" s="3" t="str">
        <f t="shared" si="6"/>
        <v>.byte &gt;(ROOMS_ADDRESS + (ROOM_SIZE * 4))</v>
      </c>
      <c r="J9" s="5"/>
      <c r="K9" s="5"/>
      <c r="L9" s="5"/>
      <c r="M9" s="5"/>
      <c r="N9" s="5"/>
      <c r="O9" s="5"/>
      <c r="P9" s="5"/>
      <c r="Q9" s="5"/>
      <c r="R9" s="5"/>
    </row>
    <row r="10" spans="1:18" x14ac:dyDescent="0.2">
      <c r="A10" s="5"/>
      <c r="B10" t="str">
        <f t="shared" si="0"/>
        <v>.byte &gt;(</v>
      </c>
      <c r="C10" t="str">
        <f t="shared" si="1"/>
        <v>ROOMS_ADDRESS</v>
      </c>
      <c r="D10" t="str">
        <f t="shared" si="2"/>
        <v xml:space="preserve"> + (</v>
      </c>
      <c r="E10" t="str">
        <f t="shared" si="3"/>
        <v>ROOM_SIZE</v>
      </c>
      <c r="F10" t="str">
        <f t="shared" si="4"/>
        <v xml:space="preserve"> * </v>
      </c>
      <c r="G10">
        <v>5</v>
      </c>
      <c r="H10" t="str">
        <f t="shared" si="5"/>
        <v>))</v>
      </c>
      <c r="I10" s="3" t="str">
        <f t="shared" si="6"/>
        <v>.byte &gt;(ROOMS_ADDRESS + (ROOM_SIZE * 5))</v>
      </c>
      <c r="J10" s="5"/>
      <c r="K10" s="5"/>
      <c r="L10" s="5"/>
      <c r="M10" s="5"/>
      <c r="N10" s="5"/>
      <c r="O10" s="5"/>
      <c r="P10" s="5"/>
      <c r="Q10" s="5"/>
      <c r="R10" s="5"/>
    </row>
    <row r="11" spans="1:18" x14ac:dyDescent="0.2">
      <c r="A11" s="5"/>
      <c r="B11" t="str">
        <f t="shared" si="0"/>
        <v>.byte &gt;(</v>
      </c>
      <c r="C11" t="str">
        <f t="shared" si="1"/>
        <v>ROOMS_ADDRESS</v>
      </c>
      <c r="D11" t="str">
        <f t="shared" si="2"/>
        <v xml:space="preserve"> + (</v>
      </c>
      <c r="E11" t="str">
        <f t="shared" si="3"/>
        <v>ROOM_SIZE</v>
      </c>
      <c r="F11" t="str">
        <f t="shared" si="4"/>
        <v xml:space="preserve"> * </v>
      </c>
      <c r="G11">
        <v>6</v>
      </c>
      <c r="H11" t="str">
        <f t="shared" si="5"/>
        <v>))</v>
      </c>
      <c r="I11" s="3" t="str">
        <f t="shared" si="6"/>
        <v>.byte &gt;(ROOMS_ADDRESS + (ROOM_SIZE * 6))</v>
      </c>
      <c r="J11" s="5"/>
      <c r="K11" s="5"/>
      <c r="L11" s="5"/>
      <c r="M11" s="5"/>
      <c r="N11" s="5"/>
      <c r="O11" s="5"/>
      <c r="P11" s="5"/>
      <c r="Q11" s="5"/>
      <c r="R11" s="5"/>
    </row>
    <row r="12" spans="1:18" x14ac:dyDescent="0.2">
      <c r="A12" s="5"/>
      <c r="B12" t="str">
        <f t="shared" si="0"/>
        <v>.byte &gt;(</v>
      </c>
      <c r="C12" t="str">
        <f t="shared" si="1"/>
        <v>ROOMS_ADDRESS</v>
      </c>
      <c r="D12" t="str">
        <f t="shared" si="2"/>
        <v xml:space="preserve"> + (</v>
      </c>
      <c r="E12" t="str">
        <f t="shared" si="3"/>
        <v>ROOM_SIZE</v>
      </c>
      <c r="F12" t="str">
        <f t="shared" si="4"/>
        <v xml:space="preserve"> * </v>
      </c>
      <c r="G12">
        <v>7</v>
      </c>
      <c r="H12" t="str">
        <f t="shared" si="5"/>
        <v>))</v>
      </c>
      <c r="I12" s="3" t="str">
        <f t="shared" si="6"/>
        <v>.byte &gt;(ROOMS_ADDRESS + (ROOM_SIZE * 7))</v>
      </c>
      <c r="J12" s="5"/>
      <c r="K12" s="5"/>
      <c r="L12" s="5"/>
      <c r="M12" s="5"/>
      <c r="N12" s="5"/>
      <c r="O12" s="5"/>
      <c r="P12" s="5"/>
      <c r="Q12" s="5"/>
      <c r="R12" s="5"/>
    </row>
    <row r="13" spans="1:18" x14ac:dyDescent="0.2">
      <c r="A13" s="5"/>
      <c r="B13" t="str">
        <f t="shared" si="0"/>
        <v>.byte &gt;(</v>
      </c>
      <c r="C13" t="str">
        <f t="shared" si="1"/>
        <v>ROOMS_ADDRESS</v>
      </c>
      <c r="D13" t="str">
        <f t="shared" si="2"/>
        <v xml:space="preserve"> + (</v>
      </c>
      <c r="E13" t="str">
        <f t="shared" si="3"/>
        <v>ROOM_SIZE</v>
      </c>
      <c r="F13" t="str">
        <f t="shared" si="4"/>
        <v xml:space="preserve"> * </v>
      </c>
      <c r="G13">
        <v>8</v>
      </c>
      <c r="H13" t="str">
        <f t="shared" si="5"/>
        <v>))</v>
      </c>
      <c r="I13" s="3" t="str">
        <f t="shared" si="6"/>
        <v>.byte &gt;(ROOMS_ADDRESS + (ROOM_SIZE * 8))</v>
      </c>
      <c r="J13" s="5"/>
      <c r="K13" s="5"/>
      <c r="L13" s="5"/>
      <c r="M13" s="5"/>
      <c r="N13" s="5"/>
      <c r="O13" s="5"/>
      <c r="P13" s="5"/>
      <c r="Q13" s="5"/>
      <c r="R13" s="5"/>
    </row>
    <row r="14" spans="1:18" x14ac:dyDescent="0.2">
      <c r="A14" s="5"/>
      <c r="B14" t="str">
        <f t="shared" si="0"/>
        <v>.byte &gt;(</v>
      </c>
      <c r="C14" t="str">
        <f t="shared" si="1"/>
        <v>ROOMS_ADDRESS</v>
      </c>
      <c r="D14" t="str">
        <f t="shared" si="2"/>
        <v xml:space="preserve"> + (</v>
      </c>
      <c r="E14" t="str">
        <f t="shared" si="3"/>
        <v>ROOM_SIZE</v>
      </c>
      <c r="F14" t="str">
        <f t="shared" si="4"/>
        <v xml:space="preserve"> * </v>
      </c>
      <c r="G14">
        <v>9</v>
      </c>
      <c r="H14" t="str">
        <f t="shared" si="5"/>
        <v>))</v>
      </c>
      <c r="I14" s="3" t="str">
        <f t="shared" si="6"/>
        <v>.byte &gt;(ROOMS_ADDRESS + (ROOM_SIZE * 9))</v>
      </c>
      <c r="J14" s="5"/>
      <c r="K14" s="5"/>
      <c r="L14" s="5"/>
      <c r="M14" s="5"/>
      <c r="N14" s="5"/>
      <c r="O14" s="5"/>
      <c r="P14" s="5"/>
      <c r="Q14" s="5"/>
      <c r="R14" s="5"/>
    </row>
    <row r="15" spans="1:18" x14ac:dyDescent="0.2">
      <c r="A15" s="5"/>
      <c r="B15" t="str">
        <f t="shared" si="0"/>
        <v>.byte &gt;(</v>
      </c>
      <c r="C15" t="str">
        <f t="shared" si="1"/>
        <v>ROOMS_ADDRESS</v>
      </c>
      <c r="D15" t="str">
        <f t="shared" si="2"/>
        <v xml:space="preserve"> + (</v>
      </c>
      <c r="E15" t="str">
        <f t="shared" si="3"/>
        <v>ROOM_SIZE</v>
      </c>
      <c r="F15" t="str">
        <f t="shared" si="4"/>
        <v xml:space="preserve"> * </v>
      </c>
      <c r="G15">
        <v>10</v>
      </c>
      <c r="H15" t="str">
        <f t="shared" si="5"/>
        <v>))</v>
      </c>
      <c r="I15" s="3" t="str">
        <f t="shared" si="6"/>
        <v>.byte &gt;(ROOMS_ADDRESS + (ROOM_SIZE * 10))</v>
      </c>
      <c r="J15" s="5"/>
      <c r="K15" s="5"/>
      <c r="L15" s="5"/>
      <c r="M15" s="5"/>
      <c r="N15" s="5"/>
      <c r="O15" s="5"/>
      <c r="P15" s="5"/>
      <c r="Q15" s="5"/>
      <c r="R15" s="5"/>
    </row>
    <row r="16" spans="1:18" x14ac:dyDescent="0.2">
      <c r="A16" s="5"/>
      <c r="B16" t="str">
        <f t="shared" si="0"/>
        <v>.byte &gt;(</v>
      </c>
      <c r="C16" t="str">
        <f t="shared" si="1"/>
        <v>ROOMS_ADDRESS</v>
      </c>
      <c r="D16" t="str">
        <f t="shared" si="2"/>
        <v xml:space="preserve"> + (</v>
      </c>
      <c r="E16" t="str">
        <f t="shared" si="3"/>
        <v>ROOM_SIZE</v>
      </c>
      <c r="F16" t="str">
        <f t="shared" si="4"/>
        <v xml:space="preserve"> * </v>
      </c>
      <c r="G16">
        <v>11</v>
      </c>
      <c r="H16" t="str">
        <f t="shared" si="5"/>
        <v>))</v>
      </c>
      <c r="I16" s="3" t="str">
        <f t="shared" si="6"/>
        <v>.byte &gt;(ROOMS_ADDRESS + (ROOM_SIZE * 11))</v>
      </c>
      <c r="J16" s="5"/>
      <c r="K16" s="5"/>
      <c r="L16" s="5"/>
      <c r="M16" s="5"/>
      <c r="N16" s="5"/>
      <c r="O16" s="5"/>
      <c r="P16" s="5"/>
      <c r="Q16" s="5"/>
      <c r="R16" s="5"/>
    </row>
    <row r="17" spans="1:18" x14ac:dyDescent="0.2">
      <c r="A17" s="5"/>
      <c r="B17" t="str">
        <f t="shared" si="0"/>
        <v>.byte &gt;(</v>
      </c>
      <c r="C17" t="str">
        <f t="shared" si="1"/>
        <v>ROOMS_ADDRESS</v>
      </c>
      <c r="D17" t="str">
        <f t="shared" si="2"/>
        <v xml:space="preserve"> + (</v>
      </c>
      <c r="E17" t="str">
        <f t="shared" si="3"/>
        <v>ROOM_SIZE</v>
      </c>
      <c r="F17" t="str">
        <f t="shared" si="4"/>
        <v xml:space="preserve"> * </v>
      </c>
      <c r="G17">
        <v>12</v>
      </c>
      <c r="H17" t="str">
        <f t="shared" si="5"/>
        <v>))</v>
      </c>
      <c r="I17" s="3" t="str">
        <f t="shared" si="6"/>
        <v>.byte &gt;(ROOMS_ADDRESS + (ROOM_SIZE * 12))</v>
      </c>
      <c r="J17" s="5"/>
      <c r="K17" s="5"/>
      <c r="L17" s="5"/>
      <c r="M17" s="5"/>
      <c r="N17" s="5"/>
      <c r="O17" s="5"/>
      <c r="P17" s="5"/>
      <c r="Q17" s="5"/>
      <c r="R17" s="5"/>
    </row>
    <row r="18" spans="1:18" x14ac:dyDescent="0.2">
      <c r="A18" s="5"/>
      <c r="B18" t="str">
        <f t="shared" si="0"/>
        <v>.byte &gt;(</v>
      </c>
      <c r="C18" t="str">
        <f t="shared" si="1"/>
        <v>ROOMS_ADDRESS</v>
      </c>
      <c r="D18" t="str">
        <f t="shared" si="2"/>
        <v xml:space="preserve"> + (</v>
      </c>
      <c r="E18" t="str">
        <f t="shared" si="3"/>
        <v>ROOM_SIZE</v>
      </c>
      <c r="F18" t="str">
        <f t="shared" si="4"/>
        <v xml:space="preserve"> * </v>
      </c>
      <c r="G18">
        <v>13</v>
      </c>
      <c r="H18" t="str">
        <f t="shared" si="5"/>
        <v>))</v>
      </c>
      <c r="I18" s="3" t="str">
        <f t="shared" si="6"/>
        <v>.byte &gt;(ROOMS_ADDRESS + (ROOM_SIZE * 13))</v>
      </c>
      <c r="J18" s="5"/>
      <c r="K18" s="5"/>
      <c r="L18" s="5"/>
      <c r="M18" s="5"/>
      <c r="N18" s="5"/>
      <c r="O18" s="5"/>
      <c r="P18" s="5"/>
      <c r="Q18" s="5"/>
      <c r="R18" s="5"/>
    </row>
    <row r="19" spans="1:18" x14ac:dyDescent="0.2">
      <c r="A19" s="5"/>
      <c r="B19" t="str">
        <f t="shared" si="0"/>
        <v>.byte &gt;(</v>
      </c>
      <c r="C19" t="str">
        <f t="shared" si="1"/>
        <v>ROOMS_ADDRESS</v>
      </c>
      <c r="D19" t="str">
        <f t="shared" si="2"/>
        <v xml:space="preserve"> + (</v>
      </c>
      <c r="E19" t="str">
        <f t="shared" si="3"/>
        <v>ROOM_SIZE</v>
      </c>
      <c r="F19" t="str">
        <f t="shared" si="4"/>
        <v xml:space="preserve"> * </v>
      </c>
      <c r="G19">
        <v>14</v>
      </c>
      <c r="H19" t="str">
        <f t="shared" si="5"/>
        <v>))</v>
      </c>
      <c r="I19" s="3" t="str">
        <f t="shared" si="6"/>
        <v>.byte &gt;(ROOMS_ADDRESS + (ROOM_SIZE * 14))</v>
      </c>
      <c r="J19" s="5"/>
      <c r="K19" s="5"/>
      <c r="L19" s="5"/>
      <c r="M19" s="5"/>
      <c r="N19" s="5"/>
      <c r="O19" s="5"/>
      <c r="P19" s="5"/>
      <c r="Q19" s="5"/>
      <c r="R19" s="5"/>
    </row>
    <row r="20" spans="1:18" x14ac:dyDescent="0.2">
      <c r="A20" s="5"/>
      <c r="B20" t="str">
        <f t="shared" si="0"/>
        <v>.byte &gt;(</v>
      </c>
      <c r="C20" t="str">
        <f t="shared" si="1"/>
        <v>ROOMS_ADDRESS</v>
      </c>
      <c r="D20" t="str">
        <f t="shared" si="2"/>
        <v xml:space="preserve"> + (</v>
      </c>
      <c r="E20" t="str">
        <f t="shared" si="3"/>
        <v>ROOM_SIZE</v>
      </c>
      <c r="F20" t="str">
        <f t="shared" si="4"/>
        <v xml:space="preserve"> * </v>
      </c>
      <c r="G20">
        <v>15</v>
      </c>
      <c r="H20" t="str">
        <f t="shared" si="5"/>
        <v>))</v>
      </c>
      <c r="I20" s="3" t="str">
        <f t="shared" si="6"/>
        <v>.byte &gt;(ROOMS_ADDRESS + (ROOM_SIZE * 15))</v>
      </c>
      <c r="J20" s="5"/>
      <c r="K20" s="5"/>
      <c r="L20" s="5"/>
      <c r="M20" s="5"/>
      <c r="N20" s="5"/>
      <c r="O20" s="5"/>
      <c r="P20" s="5"/>
      <c r="Q20" s="5"/>
      <c r="R20" s="5"/>
    </row>
    <row r="21" spans="1:18" x14ac:dyDescent="0.2">
      <c r="A21" s="5"/>
      <c r="B21" t="str">
        <f t="shared" si="0"/>
        <v>.byte &gt;(</v>
      </c>
      <c r="C21" t="str">
        <f t="shared" si="1"/>
        <v>ROOMS_ADDRESS</v>
      </c>
      <c r="D21" t="str">
        <f t="shared" si="2"/>
        <v xml:space="preserve"> + (</v>
      </c>
      <c r="E21" t="str">
        <f t="shared" si="3"/>
        <v>ROOM_SIZE</v>
      </c>
      <c r="F21" t="str">
        <f t="shared" si="4"/>
        <v xml:space="preserve"> * </v>
      </c>
      <c r="G21">
        <v>16</v>
      </c>
      <c r="H21" t="str">
        <f t="shared" si="5"/>
        <v>))</v>
      </c>
      <c r="I21" s="3" t="str">
        <f t="shared" si="6"/>
        <v>.byte &gt;(ROOMS_ADDRESS + (ROOM_SIZE * 16))</v>
      </c>
      <c r="J21" s="5"/>
      <c r="K21" s="5"/>
      <c r="L21" s="5"/>
      <c r="M21" s="5"/>
      <c r="N21" s="5"/>
      <c r="O21" s="5"/>
      <c r="P21" s="5"/>
      <c r="Q21" s="5"/>
      <c r="R21" s="5"/>
    </row>
    <row r="22" spans="1:18" x14ac:dyDescent="0.2">
      <c r="A22" s="5"/>
      <c r="B22" t="str">
        <f t="shared" si="0"/>
        <v>.byte &gt;(</v>
      </c>
      <c r="C22" t="str">
        <f t="shared" si="1"/>
        <v>ROOMS_ADDRESS</v>
      </c>
      <c r="D22" t="str">
        <f t="shared" si="2"/>
        <v xml:space="preserve"> + (</v>
      </c>
      <c r="E22" t="str">
        <f t="shared" si="3"/>
        <v>ROOM_SIZE</v>
      </c>
      <c r="F22" t="str">
        <f t="shared" si="4"/>
        <v xml:space="preserve"> * </v>
      </c>
      <c r="G22">
        <v>17</v>
      </c>
      <c r="H22" t="str">
        <f t="shared" si="5"/>
        <v>))</v>
      </c>
      <c r="I22" s="3" t="str">
        <f t="shared" si="6"/>
        <v>.byte &gt;(ROOMS_ADDRESS + (ROOM_SIZE * 17))</v>
      </c>
      <c r="J22" s="5"/>
      <c r="K22" s="5"/>
      <c r="L22" s="5"/>
      <c r="M22" s="5"/>
      <c r="N22" s="5"/>
      <c r="O22" s="5"/>
      <c r="P22" s="5"/>
      <c r="Q22" s="5"/>
      <c r="R22" s="5"/>
    </row>
    <row r="23" spans="1:18" x14ac:dyDescent="0.2">
      <c r="A23" s="5"/>
      <c r="B23" t="str">
        <f t="shared" si="0"/>
        <v>.byte &gt;(</v>
      </c>
      <c r="C23" t="str">
        <f t="shared" si="1"/>
        <v>ROOMS_ADDRESS</v>
      </c>
      <c r="D23" t="str">
        <f t="shared" si="2"/>
        <v xml:space="preserve"> + (</v>
      </c>
      <c r="E23" t="str">
        <f t="shared" si="3"/>
        <v>ROOM_SIZE</v>
      </c>
      <c r="F23" t="str">
        <f t="shared" si="4"/>
        <v xml:space="preserve"> * </v>
      </c>
      <c r="G23">
        <v>18</v>
      </c>
      <c r="H23" t="str">
        <f t="shared" si="5"/>
        <v>))</v>
      </c>
      <c r="I23" s="3" t="str">
        <f t="shared" si="6"/>
        <v>.byte &gt;(ROOMS_ADDRESS + (ROOM_SIZE * 18))</v>
      </c>
      <c r="J23" s="5"/>
      <c r="K23" s="5"/>
      <c r="L23" s="5"/>
      <c r="M23" s="5"/>
      <c r="N23" s="5"/>
      <c r="O23" s="5"/>
      <c r="P23" s="5"/>
      <c r="Q23" s="5"/>
      <c r="R23" s="5"/>
    </row>
    <row r="24" spans="1:18" x14ac:dyDescent="0.2">
      <c r="A24" s="5"/>
      <c r="B24" t="str">
        <f t="shared" si="0"/>
        <v>.byte &gt;(</v>
      </c>
      <c r="C24" t="str">
        <f t="shared" si="1"/>
        <v>ROOMS_ADDRESS</v>
      </c>
      <c r="D24" t="str">
        <f t="shared" si="2"/>
        <v xml:space="preserve"> + (</v>
      </c>
      <c r="E24" t="str">
        <f t="shared" si="3"/>
        <v>ROOM_SIZE</v>
      </c>
      <c r="F24" t="str">
        <f t="shared" si="4"/>
        <v xml:space="preserve"> * </v>
      </c>
      <c r="G24">
        <v>19</v>
      </c>
      <c r="H24" t="str">
        <f t="shared" si="5"/>
        <v>))</v>
      </c>
      <c r="I24" s="3" t="str">
        <f t="shared" si="6"/>
        <v>.byte &gt;(ROOMS_ADDRESS + (ROOM_SIZE * 19))</v>
      </c>
      <c r="J24" s="5"/>
      <c r="K24" s="5"/>
      <c r="L24" s="5"/>
      <c r="M24" s="5"/>
      <c r="N24" s="5"/>
      <c r="O24" s="5"/>
      <c r="P24" s="5"/>
      <c r="Q24" s="5"/>
      <c r="R24" s="5"/>
    </row>
    <row r="25" spans="1:18" x14ac:dyDescent="0.2">
      <c r="A25" s="5"/>
      <c r="B25" t="str">
        <f t="shared" si="0"/>
        <v>.byte &gt;(</v>
      </c>
      <c r="C25" t="str">
        <f t="shared" si="1"/>
        <v>ROOMS_ADDRESS</v>
      </c>
      <c r="D25" t="str">
        <f t="shared" si="2"/>
        <v xml:space="preserve"> + (</v>
      </c>
      <c r="E25" t="str">
        <f t="shared" si="3"/>
        <v>ROOM_SIZE</v>
      </c>
      <c r="F25" t="str">
        <f t="shared" si="4"/>
        <v xml:space="preserve"> * </v>
      </c>
      <c r="G25">
        <v>20</v>
      </c>
      <c r="H25" t="str">
        <f t="shared" si="5"/>
        <v>))</v>
      </c>
      <c r="I25" s="3" t="str">
        <f t="shared" si="6"/>
        <v>.byte &gt;(ROOMS_ADDRESS + (ROOM_SIZE * 20))</v>
      </c>
      <c r="J25" s="5"/>
      <c r="K25" s="5"/>
      <c r="L25" s="5"/>
      <c r="M25" s="5"/>
      <c r="N25" s="5"/>
      <c r="O25" s="5"/>
      <c r="P25" s="5"/>
      <c r="Q25" s="5"/>
      <c r="R25" s="5"/>
    </row>
    <row r="26" spans="1:18" x14ac:dyDescent="0.2">
      <c r="A26" s="5"/>
      <c r="B26" t="str">
        <f t="shared" si="0"/>
        <v>.byte &gt;(</v>
      </c>
      <c r="C26" t="str">
        <f t="shared" si="1"/>
        <v>ROOMS_ADDRESS</v>
      </c>
      <c r="D26" t="str">
        <f t="shared" si="2"/>
        <v xml:space="preserve"> + (</v>
      </c>
      <c r="E26" t="str">
        <f t="shared" si="3"/>
        <v>ROOM_SIZE</v>
      </c>
      <c r="F26" t="str">
        <f t="shared" si="4"/>
        <v xml:space="preserve"> * </v>
      </c>
      <c r="G26">
        <v>21</v>
      </c>
      <c r="H26" t="str">
        <f t="shared" si="5"/>
        <v>))</v>
      </c>
      <c r="I26" s="3" t="str">
        <f t="shared" si="6"/>
        <v>.byte &gt;(ROOMS_ADDRESS + (ROOM_SIZE * 21))</v>
      </c>
      <c r="J26" s="5"/>
      <c r="K26" s="5"/>
      <c r="L26" s="5"/>
      <c r="M26" s="5"/>
      <c r="N26" s="5"/>
      <c r="O26" s="5"/>
      <c r="P26" s="5"/>
      <c r="Q26" s="5"/>
      <c r="R26" s="5"/>
    </row>
    <row r="27" spans="1:18" x14ac:dyDescent="0.2">
      <c r="A27" s="5"/>
      <c r="B27" t="str">
        <f t="shared" si="0"/>
        <v>.byte &gt;(</v>
      </c>
      <c r="C27" t="str">
        <f t="shared" si="1"/>
        <v>ROOMS_ADDRESS</v>
      </c>
      <c r="D27" t="str">
        <f t="shared" si="2"/>
        <v xml:space="preserve"> + (</v>
      </c>
      <c r="E27" t="str">
        <f t="shared" si="3"/>
        <v>ROOM_SIZE</v>
      </c>
      <c r="F27" t="str">
        <f t="shared" si="4"/>
        <v xml:space="preserve"> * </v>
      </c>
      <c r="G27">
        <v>22</v>
      </c>
      <c r="H27" t="str">
        <f t="shared" si="5"/>
        <v>))</v>
      </c>
      <c r="I27" s="3" t="str">
        <f t="shared" si="6"/>
        <v>.byte &gt;(ROOMS_ADDRESS + (ROOM_SIZE * 22))</v>
      </c>
      <c r="J27" s="5"/>
      <c r="K27" s="5"/>
      <c r="L27" s="5"/>
      <c r="M27" s="5"/>
      <c r="N27" s="5"/>
      <c r="O27" s="5"/>
      <c r="P27" s="5"/>
      <c r="Q27" s="5"/>
      <c r="R27" s="5"/>
    </row>
    <row r="28" spans="1:18" x14ac:dyDescent="0.2">
      <c r="A28" s="5"/>
      <c r="B28" t="str">
        <f t="shared" si="0"/>
        <v>.byte &gt;(</v>
      </c>
      <c r="C28" t="str">
        <f t="shared" si="1"/>
        <v>ROOMS_ADDRESS</v>
      </c>
      <c r="D28" t="str">
        <f t="shared" si="2"/>
        <v xml:space="preserve"> + (</v>
      </c>
      <c r="E28" t="str">
        <f t="shared" si="3"/>
        <v>ROOM_SIZE</v>
      </c>
      <c r="F28" t="str">
        <f t="shared" si="4"/>
        <v xml:space="preserve"> * </v>
      </c>
      <c r="G28">
        <v>23</v>
      </c>
      <c r="H28" t="str">
        <f t="shared" si="5"/>
        <v>))</v>
      </c>
      <c r="I28" s="3" t="str">
        <f t="shared" si="6"/>
        <v>.byte &gt;(ROOMS_ADDRESS + (ROOM_SIZE * 23))</v>
      </c>
      <c r="J28" s="5"/>
      <c r="K28" s="5"/>
      <c r="L28" s="5"/>
      <c r="M28" s="5"/>
      <c r="N28" s="5"/>
      <c r="O28" s="5"/>
      <c r="P28" s="5"/>
      <c r="Q28" s="5"/>
      <c r="R28" s="5"/>
    </row>
    <row r="29" spans="1:18" x14ac:dyDescent="0.2">
      <c r="A29" s="5"/>
      <c r="B29" t="str">
        <f t="shared" si="0"/>
        <v>.byte &gt;(</v>
      </c>
      <c r="C29" t="str">
        <f t="shared" si="1"/>
        <v>ROOMS_ADDRESS</v>
      </c>
      <c r="D29" t="str">
        <f t="shared" si="2"/>
        <v xml:space="preserve"> + (</v>
      </c>
      <c r="E29" t="str">
        <f t="shared" si="3"/>
        <v>ROOM_SIZE</v>
      </c>
      <c r="F29" t="str">
        <f t="shared" si="4"/>
        <v xml:space="preserve"> * </v>
      </c>
      <c r="G29">
        <v>24</v>
      </c>
      <c r="H29" t="str">
        <f t="shared" si="5"/>
        <v>))</v>
      </c>
      <c r="I29" s="3" t="str">
        <f t="shared" si="6"/>
        <v>.byte &gt;(ROOMS_ADDRESS + (ROOM_SIZE * 24))</v>
      </c>
      <c r="J29" s="5"/>
      <c r="K29" s="5"/>
      <c r="L29" s="5"/>
      <c r="M29" s="5"/>
      <c r="N29" s="5"/>
      <c r="O29" s="5"/>
      <c r="P29" s="5"/>
      <c r="Q29" s="5"/>
      <c r="R29" s="5"/>
    </row>
    <row r="30" spans="1:18" x14ac:dyDescent="0.2">
      <c r="A30" s="5"/>
      <c r="B30" t="str">
        <f t="shared" si="0"/>
        <v>.byte &gt;(</v>
      </c>
      <c r="C30" t="str">
        <f t="shared" si="1"/>
        <v>ROOMS_ADDRESS</v>
      </c>
      <c r="D30" t="str">
        <f t="shared" si="2"/>
        <v xml:space="preserve"> + (</v>
      </c>
      <c r="E30" t="str">
        <f t="shared" si="3"/>
        <v>ROOM_SIZE</v>
      </c>
      <c r="F30" t="str">
        <f t="shared" si="4"/>
        <v xml:space="preserve"> * </v>
      </c>
      <c r="G30">
        <v>25</v>
      </c>
      <c r="H30" t="str">
        <f t="shared" si="5"/>
        <v>))</v>
      </c>
      <c r="I30" s="3" t="str">
        <f t="shared" si="6"/>
        <v>.byte &gt;(ROOMS_ADDRESS + (ROOM_SIZE * 25))</v>
      </c>
      <c r="J30" s="5"/>
      <c r="K30" s="5"/>
      <c r="L30" s="5"/>
      <c r="M30" s="5"/>
      <c r="N30" s="5"/>
      <c r="O30" s="5"/>
      <c r="P30" s="5"/>
      <c r="Q30" s="5"/>
      <c r="R30" s="5"/>
    </row>
    <row r="31" spans="1:18" x14ac:dyDescent="0.2">
      <c r="A31" s="5"/>
      <c r="B31" t="str">
        <f t="shared" si="0"/>
        <v>.byte &gt;(</v>
      </c>
      <c r="C31" t="str">
        <f t="shared" si="1"/>
        <v>ROOMS_ADDRESS</v>
      </c>
      <c r="D31" t="str">
        <f t="shared" si="2"/>
        <v xml:space="preserve"> + (</v>
      </c>
      <c r="E31" t="str">
        <f t="shared" si="3"/>
        <v>ROOM_SIZE</v>
      </c>
      <c r="F31" t="str">
        <f t="shared" si="4"/>
        <v xml:space="preserve"> * </v>
      </c>
      <c r="G31">
        <v>26</v>
      </c>
      <c r="H31" t="str">
        <f t="shared" si="5"/>
        <v>))</v>
      </c>
      <c r="I31" s="3" t="str">
        <f t="shared" si="6"/>
        <v>.byte &gt;(ROOMS_ADDRESS + (ROOM_SIZE * 26))</v>
      </c>
      <c r="J31" s="5"/>
      <c r="K31" s="5"/>
      <c r="L31" s="5"/>
      <c r="M31" s="5"/>
      <c r="N31" s="5"/>
      <c r="O31" s="5"/>
      <c r="P31" s="5"/>
      <c r="Q31" s="5"/>
      <c r="R31" s="5"/>
    </row>
    <row r="32" spans="1:18" x14ac:dyDescent="0.2">
      <c r="A32" s="5"/>
      <c r="B32" t="str">
        <f t="shared" si="0"/>
        <v>.byte &gt;(</v>
      </c>
      <c r="C32" t="str">
        <f t="shared" si="1"/>
        <v>ROOMS_ADDRESS</v>
      </c>
      <c r="D32" t="str">
        <f t="shared" si="2"/>
        <v xml:space="preserve"> + (</v>
      </c>
      <c r="E32" t="str">
        <f t="shared" si="3"/>
        <v>ROOM_SIZE</v>
      </c>
      <c r="F32" t="str">
        <f t="shared" si="4"/>
        <v xml:space="preserve"> * </v>
      </c>
      <c r="G32">
        <v>27</v>
      </c>
      <c r="H32" t="str">
        <f t="shared" si="5"/>
        <v>))</v>
      </c>
      <c r="I32" s="3" t="str">
        <f t="shared" si="6"/>
        <v>.byte &gt;(ROOMS_ADDRESS + (ROOM_SIZE * 27))</v>
      </c>
      <c r="J32" s="5"/>
      <c r="K32" s="5"/>
      <c r="L32" s="5"/>
      <c r="M32" s="5"/>
      <c r="N32" s="5"/>
      <c r="O32" s="5"/>
      <c r="P32" s="5"/>
      <c r="Q32" s="5"/>
      <c r="R32" s="5"/>
    </row>
    <row r="33" spans="1:18" x14ac:dyDescent="0.2">
      <c r="A33" s="5"/>
      <c r="B33" t="str">
        <f t="shared" si="0"/>
        <v>.byte &gt;(</v>
      </c>
      <c r="C33" t="str">
        <f t="shared" si="1"/>
        <v>ROOMS_ADDRESS</v>
      </c>
      <c r="D33" t="str">
        <f t="shared" si="2"/>
        <v xml:space="preserve"> + (</v>
      </c>
      <c r="E33" t="str">
        <f t="shared" si="3"/>
        <v>ROOM_SIZE</v>
      </c>
      <c r="F33" t="str">
        <f t="shared" si="4"/>
        <v xml:space="preserve"> * </v>
      </c>
      <c r="G33">
        <v>28</v>
      </c>
      <c r="H33" t="str">
        <f t="shared" si="5"/>
        <v>))</v>
      </c>
      <c r="I33" s="3" t="str">
        <f t="shared" si="6"/>
        <v>.byte &gt;(ROOMS_ADDRESS + (ROOM_SIZE * 28))</v>
      </c>
      <c r="J33" s="5"/>
      <c r="K33" s="5"/>
      <c r="L33" s="5"/>
      <c r="M33" s="5"/>
      <c r="N33" s="5"/>
      <c r="O33" s="5"/>
      <c r="P33" s="5"/>
      <c r="Q33" s="5"/>
      <c r="R33" s="5"/>
    </row>
    <row r="34" spans="1:18" x14ac:dyDescent="0.2">
      <c r="A34" s="5"/>
      <c r="B34" t="str">
        <f t="shared" si="0"/>
        <v>.byte &gt;(</v>
      </c>
      <c r="C34" t="str">
        <f t="shared" si="1"/>
        <v>ROOMS_ADDRESS</v>
      </c>
      <c r="D34" t="str">
        <f t="shared" si="2"/>
        <v xml:space="preserve"> + (</v>
      </c>
      <c r="E34" t="str">
        <f t="shared" si="3"/>
        <v>ROOM_SIZE</v>
      </c>
      <c r="F34" t="str">
        <f t="shared" si="4"/>
        <v xml:space="preserve"> * </v>
      </c>
      <c r="G34">
        <v>29</v>
      </c>
      <c r="H34" t="str">
        <f t="shared" si="5"/>
        <v>))</v>
      </c>
      <c r="I34" s="3" t="str">
        <f t="shared" si="6"/>
        <v>.byte &gt;(ROOMS_ADDRESS + (ROOM_SIZE * 29))</v>
      </c>
      <c r="J34" s="5"/>
      <c r="K34" s="5"/>
      <c r="L34" s="5"/>
      <c r="M34" s="5"/>
      <c r="N34" s="5"/>
      <c r="O34" s="5"/>
      <c r="P34" s="5"/>
      <c r="Q34" s="5"/>
      <c r="R34" s="5"/>
    </row>
    <row r="35" spans="1:18" x14ac:dyDescent="0.2">
      <c r="A35" s="5"/>
      <c r="B35" t="str">
        <f t="shared" si="0"/>
        <v>.byte &gt;(</v>
      </c>
      <c r="C35" t="str">
        <f t="shared" si="1"/>
        <v>ROOMS_ADDRESS</v>
      </c>
      <c r="D35" t="str">
        <f t="shared" si="2"/>
        <v xml:space="preserve"> + (</v>
      </c>
      <c r="E35" t="str">
        <f t="shared" si="3"/>
        <v>ROOM_SIZE</v>
      </c>
      <c r="F35" t="str">
        <f t="shared" si="4"/>
        <v xml:space="preserve"> * </v>
      </c>
      <c r="G35">
        <v>30</v>
      </c>
      <c r="H35" t="str">
        <f t="shared" si="5"/>
        <v>))</v>
      </c>
      <c r="I35" s="3" t="str">
        <f t="shared" si="6"/>
        <v>.byte &gt;(ROOMS_ADDRESS + (ROOM_SIZE * 30))</v>
      </c>
      <c r="J35" s="5"/>
      <c r="K35" s="5"/>
      <c r="L35" s="5"/>
      <c r="M35" s="5"/>
      <c r="N35" s="5"/>
      <c r="O35" s="5"/>
      <c r="P35" s="5"/>
      <c r="Q35" s="5"/>
      <c r="R35" s="5"/>
    </row>
    <row r="36" spans="1:18" x14ac:dyDescent="0.2">
      <c r="A36" s="5"/>
      <c r="B36" t="str">
        <f t="shared" si="0"/>
        <v>.byte &gt;(</v>
      </c>
      <c r="C36" t="str">
        <f t="shared" si="1"/>
        <v>ROOMS_ADDRESS</v>
      </c>
      <c r="D36" t="str">
        <f t="shared" si="2"/>
        <v xml:space="preserve"> + (</v>
      </c>
      <c r="E36" t="str">
        <f t="shared" si="3"/>
        <v>ROOM_SIZE</v>
      </c>
      <c r="F36" t="str">
        <f t="shared" si="4"/>
        <v xml:space="preserve"> * </v>
      </c>
      <c r="G36">
        <v>31</v>
      </c>
      <c r="H36" t="str">
        <f t="shared" si="5"/>
        <v>))</v>
      </c>
      <c r="I36" s="3" t="str">
        <f t="shared" si="6"/>
        <v>.byte &gt;(ROOMS_ADDRESS + (ROOM_SIZE * 31))</v>
      </c>
      <c r="J36" s="5"/>
      <c r="K36" s="5"/>
      <c r="L36" s="5"/>
      <c r="M36" s="5"/>
      <c r="N36" s="5"/>
      <c r="O36" s="5"/>
      <c r="P36" s="5"/>
      <c r="Q36" s="5"/>
      <c r="R36" s="5"/>
    </row>
    <row r="37" spans="1:18" x14ac:dyDescent="0.2">
      <c r="A37" s="5"/>
      <c r="B37" t="str">
        <f t="shared" si="0"/>
        <v>.byte &gt;(</v>
      </c>
      <c r="C37" t="str">
        <f t="shared" si="1"/>
        <v>ROOMS_ADDRESS</v>
      </c>
      <c r="D37" t="str">
        <f t="shared" si="2"/>
        <v xml:space="preserve"> + (</v>
      </c>
      <c r="E37" t="str">
        <f t="shared" si="3"/>
        <v>ROOM_SIZE</v>
      </c>
      <c r="F37" t="str">
        <f t="shared" si="4"/>
        <v xml:space="preserve"> * </v>
      </c>
      <c r="G37">
        <v>32</v>
      </c>
      <c r="H37" t="str">
        <f t="shared" si="5"/>
        <v>))</v>
      </c>
      <c r="I37" s="3" t="str">
        <f t="shared" si="6"/>
        <v>.byte &gt;(ROOMS_ADDRESS + (ROOM_SIZE * 32))</v>
      </c>
      <c r="J37" s="5"/>
      <c r="K37" s="5"/>
      <c r="L37" s="5"/>
      <c r="M37" s="5"/>
      <c r="N37" s="5"/>
      <c r="O37" s="5"/>
      <c r="P37" s="5"/>
      <c r="Q37" s="5"/>
      <c r="R37" s="5"/>
    </row>
    <row r="38" spans="1:18" x14ac:dyDescent="0.2">
      <c r="A38" s="5"/>
      <c r="B38" t="str">
        <f t="shared" si="0"/>
        <v>.byte &gt;(</v>
      </c>
      <c r="C38" t="str">
        <f t="shared" si="1"/>
        <v>ROOMS_ADDRESS</v>
      </c>
      <c r="D38" t="str">
        <f t="shared" si="2"/>
        <v xml:space="preserve"> + (</v>
      </c>
      <c r="E38" t="str">
        <f t="shared" si="3"/>
        <v>ROOM_SIZE</v>
      </c>
      <c r="F38" t="str">
        <f t="shared" si="4"/>
        <v xml:space="preserve"> * </v>
      </c>
      <c r="G38">
        <v>33</v>
      </c>
      <c r="H38" t="str">
        <f t="shared" si="5"/>
        <v>))</v>
      </c>
      <c r="I38" s="3" t="str">
        <f t="shared" si="6"/>
        <v>.byte &gt;(ROOMS_ADDRESS + (ROOM_SIZE * 33))</v>
      </c>
      <c r="J38" s="5"/>
      <c r="K38" s="5"/>
      <c r="L38" s="5"/>
      <c r="M38" s="5"/>
      <c r="N38" s="5"/>
      <c r="O38" s="5"/>
      <c r="P38" s="5"/>
      <c r="Q38" s="5"/>
      <c r="R38" s="5"/>
    </row>
    <row r="39" spans="1:18" x14ac:dyDescent="0.2">
      <c r="A39" s="5"/>
      <c r="B39" t="str">
        <f t="shared" si="0"/>
        <v>.byte &gt;(</v>
      </c>
      <c r="C39" t="str">
        <f t="shared" si="1"/>
        <v>ROOMS_ADDRESS</v>
      </c>
      <c r="D39" t="str">
        <f t="shared" si="2"/>
        <v xml:space="preserve"> + (</v>
      </c>
      <c r="E39" t="str">
        <f t="shared" si="3"/>
        <v>ROOM_SIZE</v>
      </c>
      <c r="F39" t="str">
        <f t="shared" si="4"/>
        <v xml:space="preserve"> * </v>
      </c>
      <c r="G39">
        <v>34</v>
      </c>
      <c r="H39" t="str">
        <f t="shared" si="5"/>
        <v>))</v>
      </c>
      <c r="I39" s="3" t="str">
        <f t="shared" si="6"/>
        <v>.byte &gt;(ROOMS_ADDRESS + (ROOM_SIZE * 34))</v>
      </c>
      <c r="J39" s="5"/>
      <c r="K39" s="5"/>
      <c r="L39" s="5"/>
      <c r="M39" s="5"/>
      <c r="N39" s="5"/>
      <c r="O39" s="5"/>
      <c r="P39" s="5"/>
      <c r="Q39" s="5"/>
      <c r="R39" s="5"/>
    </row>
    <row r="40" spans="1:18" x14ac:dyDescent="0.2">
      <c r="A40" s="5"/>
      <c r="B40" t="str">
        <f t="shared" si="0"/>
        <v>.byte &gt;(</v>
      </c>
      <c r="C40" t="str">
        <f t="shared" si="1"/>
        <v>ROOMS_ADDRESS</v>
      </c>
      <c r="D40" t="str">
        <f t="shared" si="2"/>
        <v xml:space="preserve"> + (</v>
      </c>
      <c r="E40" t="str">
        <f t="shared" si="3"/>
        <v>ROOM_SIZE</v>
      </c>
      <c r="F40" t="str">
        <f t="shared" si="4"/>
        <v xml:space="preserve"> * </v>
      </c>
      <c r="G40">
        <v>35</v>
      </c>
      <c r="H40" t="str">
        <f t="shared" si="5"/>
        <v>))</v>
      </c>
      <c r="I40" s="3" t="str">
        <f t="shared" si="6"/>
        <v>.byte &gt;(ROOMS_ADDRESS + (ROOM_SIZE * 35))</v>
      </c>
      <c r="J40" s="5"/>
      <c r="K40" s="5"/>
      <c r="L40" s="5"/>
      <c r="M40" s="5"/>
      <c r="N40" s="5"/>
      <c r="O40" s="5"/>
      <c r="P40" s="5"/>
      <c r="Q40" s="5"/>
      <c r="R40" s="5"/>
    </row>
    <row r="41" spans="1:18" x14ac:dyDescent="0.2">
      <c r="A41" s="5"/>
      <c r="B41" t="str">
        <f t="shared" si="0"/>
        <v>.byte &gt;(</v>
      </c>
      <c r="C41" t="str">
        <f t="shared" si="1"/>
        <v>ROOMS_ADDRESS</v>
      </c>
      <c r="D41" t="str">
        <f t="shared" si="2"/>
        <v xml:space="preserve"> + (</v>
      </c>
      <c r="E41" t="str">
        <f t="shared" si="3"/>
        <v>ROOM_SIZE</v>
      </c>
      <c r="F41" t="str">
        <f t="shared" si="4"/>
        <v xml:space="preserve"> * </v>
      </c>
      <c r="G41">
        <v>36</v>
      </c>
      <c r="H41" t="str">
        <f t="shared" si="5"/>
        <v>))</v>
      </c>
      <c r="I41" s="3" t="str">
        <f t="shared" si="6"/>
        <v>.byte &gt;(ROOMS_ADDRESS + (ROOM_SIZE * 36))</v>
      </c>
      <c r="J41" s="5"/>
      <c r="K41" s="5"/>
      <c r="L41" s="5"/>
      <c r="M41" s="5"/>
      <c r="N41" s="5"/>
      <c r="O41" s="5"/>
      <c r="P41" s="5"/>
      <c r="Q41" s="5"/>
      <c r="R41" s="5"/>
    </row>
    <row r="42" spans="1:18" x14ac:dyDescent="0.2">
      <c r="A42" s="5"/>
      <c r="B42" t="str">
        <f t="shared" si="0"/>
        <v>.byte &gt;(</v>
      </c>
      <c r="C42" t="str">
        <f t="shared" si="1"/>
        <v>ROOMS_ADDRESS</v>
      </c>
      <c r="D42" t="str">
        <f t="shared" si="2"/>
        <v xml:space="preserve"> + (</v>
      </c>
      <c r="E42" t="str">
        <f t="shared" si="3"/>
        <v>ROOM_SIZE</v>
      </c>
      <c r="F42" t="str">
        <f t="shared" si="4"/>
        <v xml:space="preserve"> * </v>
      </c>
      <c r="G42">
        <v>37</v>
      </c>
      <c r="H42" t="str">
        <f t="shared" si="5"/>
        <v>))</v>
      </c>
      <c r="I42" s="3" t="str">
        <f t="shared" si="6"/>
        <v>.byte &gt;(ROOMS_ADDRESS + (ROOM_SIZE * 37))</v>
      </c>
      <c r="J42" s="5"/>
      <c r="K42" s="5"/>
      <c r="L42" s="5"/>
      <c r="M42" s="5"/>
      <c r="N42" s="5"/>
      <c r="O42" s="5"/>
      <c r="P42" s="5"/>
      <c r="Q42" s="5"/>
      <c r="R42" s="5"/>
    </row>
    <row r="43" spans="1:18" x14ac:dyDescent="0.2">
      <c r="A43" s="5"/>
      <c r="B43" t="str">
        <f t="shared" si="0"/>
        <v>.byte &gt;(</v>
      </c>
      <c r="C43" t="str">
        <f t="shared" si="1"/>
        <v>ROOMS_ADDRESS</v>
      </c>
      <c r="D43" t="str">
        <f t="shared" si="2"/>
        <v xml:space="preserve"> + (</v>
      </c>
      <c r="E43" t="str">
        <f t="shared" si="3"/>
        <v>ROOM_SIZE</v>
      </c>
      <c r="F43" t="str">
        <f t="shared" si="4"/>
        <v xml:space="preserve"> * </v>
      </c>
      <c r="G43">
        <v>38</v>
      </c>
      <c r="H43" t="str">
        <f t="shared" si="5"/>
        <v>))</v>
      </c>
      <c r="I43" s="3" t="str">
        <f t="shared" si="6"/>
        <v>.byte &gt;(ROOMS_ADDRESS + (ROOM_SIZE * 38))</v>
      </c>
      <c r="J43" s="5"/>
      <c r="K43" s="5"/>
      <c r="L43" s="5"/>
      <c r="M43" s="5"/>
      <c r="N43" s="5"/>
      <c r="O43" s="5"/>
      <c r="P43" s="5"/>
      <c r="Q43" s="5"/>
      <c r="R43" s="5"/>
    </row>
    <row r="44" spans="1:18" x14ac:dyDescent="0.2">
      <c r="A44" s="5"/>
      <c r="B44" t="str">
        <f t="shared" si="0"/>
        <v>.byte &gt;(</v>
      </c>
      <c r="C44" t="str">
        <f t="shared" si="1"/>
        <v>ROOMS_ADDRESS</v>
      </c>
      <c r="D44" t="str">
        <f t="shared" si="2"/>
        <v xml:space="preserve"> + (</v>
      </c>
      <c r="E44" t="str">
        <f t="shared" si="3"/>
        <v>ROOM_SIZE</v>
      </c>
      <c r="F44" t="str">
        <f t="shared" si="4"/>
        <v xml:space="preserve"> * </v>
      </c>
      <c r="G44">
        <v>39</v>
      </c>
      <c r="H44" t="str">
        <f t="shared" si="5"/>
        <v>))</v>
      </c>
      <c r="I44" s="3" t="str">
        <f t="shared" si="6"/>
        <v>.byte &gt;(ROOMS_ADDRESS + (ROOM_SIZE * 39))</v>
      </c>
      <c r="J44" s="5"/>
      <c r="K44" s="5"/>
      <c r="L44" s="5"/>
      <c r="M44" s="5"/>
      <c r="N44" s="5"/>
      <c r="O44" s="5"/>
      <c r="P44" s="5"/>
      <c r="Q44" s="5"/>
      <c r="R44" s="5"/>
    </row>
    <row r="45" spans="1:18" x14ac:dyDescent="0.2">
      <c r="A45" s="5"/>
      <c r="B45" t="str">
        <f t="shared" si="0"/>
        <v>.byte &gt;(</v>
      </c>
      <c r="C45" t="str">
        <f t="shared" si="1"/>
        <v>ROOMS_ADDRESS</v>
      </c>
      <c r="D45" t="str">
        <f t="shared" si="2"/>
        <v xml:space="preserve"> + (</v>
      </c>
      <c r="E45" t="str">
        <f t="shared" si="3"/>
        <v>ROOM_SIZE</v>
      </c>
      <c r="F45" t="str">
        <f t="shared" si="4"/>
        <v xml:space="preserve"> * </v>
      </c>
      <c r="G45">
        <v>40</v>
      </c>
      <c r="H45" t="str">
        <f t="shared" si="5"/>
        <v>))</v>
      </c>
      <c r="I45" s="3" t="str">
        <f t="shared" si="6"/>
        <v>.byte &gt;(ROOMS_ADDRESS + (ROOM_SIZE * 40))</v>
      </c>
      <c r="J45" s="5"/>
      <c r="K45" s="5"/>
      <c r="L45" s="5"/>
      <c r="M45" s="5"/>
      <c r="N45" s="5"/>
      <c r="O45" s="5"/>
      <c r="P45" s="5"/>
      <c r="Q45" s="5"/>
      <c r="R45" s="5"/>
    </row>
    <row r="46" spans="1:18" x14ac:dyDescent="0.2">
      <c r="A46" s="5"/>
      <c r="B46" t="str">
        <f t="shared" si="0"/>
        <v>.byte &gt;(</v>
      </c>
      <c r="C46" t="str">
        <f t="shared" si="1"/>
        <v>ROOMS_ADDRESS</v>
      </c>
      <c r="D46" t="str">
        <f t="shared" si="2"/>
        <v xml:space="preserve"> + (</v>
      </c>
      <c r="E46" t="str">
        <f t="shared" si="3"/>
        <v>ROOM_SIZE</v>
      </c>
      <c r="F46" t="str">
        <f t="shared" si="4"/>
        <v xml:space="preserve"> * </v>
      </c>
      <c r="G46">
        <v>41</v>
      </c>
      <c r="H46" t="str">
        <f t="shared" si="5"/>
        <v>))</v>
      </c>
      <c r="I46" s="3" t="str">
        <f t="shared" si="6"/>
        <v>.byte &gt;(ROOMS_ADDRESS + (ROOM_SIZE * 41))</v>
      </c>
      <c r="J46" s="5"/>
      <c r="K46" s="5"/>
      <c r="L46" s="5"/>
      <c r="M46" s="5"/>
      <c r="N46" s="5"/>
      <c r="O46" s="5"/>
      <c r="P46" s="5"/>
      <c r="Q46" s="5"/>
      <c r="R46" s="5"/>
    </row>
    <row r="47" spans="1:18" x14ac:dyDescent="0.2">
      <c r="A47" s="5"/>
      <c r="B47" t="str">
        <f t="shared" si="0"/>
        <v>.byte &gt;(</v>
      </c>
      <c r="C47" t="str">
        <f t="shared" si="1"/>
        <v>ROOMS_ADDRESS</v>
      </c>
      <c r="D47" t="str">
        <f t="shared" si="2"/>
        <v xml:space="preserve"> + (</v>
      </c>
      <c r="E47" t="str">
        <f t="shared" si="3"/>
        <v>ROOM_SIZE</v>
      </c>
      <c r="F47" t="str">
        <f t="shared" si="4"/>
        <v xml:space="preserve"> * </v>
      </c>
      <c r="G47">
        <v>42</v>
      </c>
      <c r="H47" t="str">
        <f t="shared" si="5"/>
        <v>))</v>
      </c>
      <c r="I47" s="3" t="str">
        <f t="shared" si="6"/>
        <v>.byte &gt;(ROOMS_ADDRESS + (ROOM_SIZE * 42))</v>
      </c>
      <c r="J47" s="5"/>
      <c r="K47" s="5"/>
      <c r="L47" s="5"/>
      <c r="M47" s="5"/>
      <c r="N47" s="5"/>
      <c r="O47" s="5"/>
      <c r="P47" s="5"/>
      <c r="Q47" s="5"/>
      <c r="R47" s="5"/>
    </row>
    <row r="48" spans="1:18" x14ac:dyDescent="0.2">
      <c r="A48" s="5"/>
      <c r="B48" t="str">
        <f t="shared" si="0"/>
        <v>.byte &gt;(</v>
      </c>
      <c r="C48" t="str">
        <f t="shared" si="1"/>
        <v>ROOMS_ADDRESS</v>
      </c>
      <c r="D48" t="str">
        <f t="shared" si="2"/>
        <v xml:space="preserve"> + (</v>
      </c>
      <c r="E48" t="str">
        <f t="shared" si="3"/>
        <v>ROOM_SIZE</v>
      </c>
      <c r="F48" t="str">
        <f t="shared" si="4"/>
        <v xml:space="preserve"> * </v>
      </c>
      <c r="G48">
        <v>43</v>
      </c>
      <c r="H48" t="str">
        <f t="shared" si="5"/>
        <v>))</v>
      </c>
      <c r="I48" s="3" t="str">
        <f t="shared" si="6"/>
        <v>.byte &gt;(ROOMS_ADDRESS + (ROOM_SIZE * 43))</v>
      </c>
      <c r="J48" s="5"/>
      <c r="K48" s="5"/>
      <c r="L48" s="5"/>
      <c r="M48" s="5"/>
      <c r="N48" s="5"/>
      <c r="O48" s="5"/>
      <c r="P48" s="5"/>
      <c r="Q48" s="5"/>
      <c r="R48" s="5"/>
    </row>
    <row r="49" spans="1:18" x14ac:dyDescent="0.2">
      <c r="A49" s="5"/>
      <c r="B49" t="str">
        <f t="shared" si="0"/>
        <v>.byte &gt;(</v>
      </c>
      <c r="C49" t="str">
        <f t="shared" si="1"/>
        <v>ROOMS_ADDRESS</v>
      </c>
      <c r="D49" t="str">
        <f t="shared" si="2"/>
        <v xml:space="preserve"> + (</v>
      </c>
      <c r="E49" t="str">
        <f t="shared" si="3"/>
        <v>ROOM_SIZE</v>
      </c>
      <c r="F49" t="str">
        <f t="shared" si="4"/>
        <v xml:space="preserve"> * </v>
      </c>
      <c r="G49">
        <v>44</v>
      </c>
      <c r="H49" t="str">
        <f t="shared" si="5"/>
        <v>))</v>
      </c>
      <c r="I49" s="3" t="str">
        <f t="shared" si="6"/>
        <v>.byte &gt;(ROOMS_ADDRESS + (ROOM_SIZE * 44))</v>
      </c>
      <c r="J49" s="5"/>
      <c r="K49" s="5"/>
      <c r="L49" s="5"/>
      <c r="M49" s="5"/>
      <c r="N49" s="5"/>
      <c r="O49" s="5"/>
      <c r="P49" s="5"/>
      <c r="Q49" s="5"/>
      <c r="R49" s="5"/>
    </row>
    <row r="50" spans="1:18" x14ac:dyDescent="0.2">
      <c r="A50" s="5"/>
      <c r="B50" t="str">
        <f t="shared" si="0"/>
        <v>.byte &gt;(</v>
      </c>
      <c r="C50" t="str">
        <f t="shared" si="1"/>
        <v>ROOMS_ADDRESS</v>
      </c>
      <c r="D50" t="str">
        <f t="shared" si="2"/>
        <v xml:space="preserve"> + (</v>
      </c>
      <c r="E50" t="str">
        <f t="shared" si="3"/>
        <v>ROOM_SIZE</v>
      </c>
      <c r="F50" t="str">
        <f t="shared" si="4"/>
        <v xml:space="preserve"> * </v>
      </c>
      <c r="G50">
        <v>45</v>
      </c>
      <c r="H50" t="str">
        <f t="shared" si="5"/>
        <v>))</v>
      </c>
      <c r="I50" s="3" t="str">
        <f t="shared" si="6"/>
        <v>.byte &gt;(ROOMS_ADDRESS + (ROOM_SIZE * 45))</v>
      </c>
      <c r="J50" s="5"/>
      <c r="K50" s="5"/>
      <c r="L50" s="5"/>
      <c r="M50" s="5"/>
      <c r="N50" s="5"/>
      <c r="O50" s="5"/>
      <c r="P50" s="5"/>
      <c r="Q50" s="5"/>
      <c r="R50" s="5"/>
    </row>
    <row r="51" spans="1:18" x14ac:dyDescent="0.2">
      <c r="A51" s="5"/>
      <c r="B51" t="str">
        <f t="shared" si="0"/>
        <v>.byte &gt;(</v>
      </c>
      <c r="C51" t="str">
        <f t="shared" si="1"/>
        <v>ROOMS_ADDRESS</v>
      </c>
      <c r="D51" t="str">
        <f t="shared" si="2"/>
        <v xml:space="preserve"> + (</v>
      </c>
      <c r="E51" t="str">
        <f t="shared" si="3"/>
        <v>ROOM_SIZE</v>
      </c>
      <c r="F51" t="str">
        <f t="shared" si="4"/>
        <v xml:space="preserve"> * </v>
      </c>
      <c r="G51">
        <v>46</v>
      </c>
      <c r="H51" t="str">
        <f t="shared" si="5"/>
        <v>))</v>
      </c>
      <c r="I51" s="3" t="str">
        <f t="shared" si="6"/>
        <v>.byte &gt;(ROOMS_ADDRESS + (ROOM_SIZE * 46))</v>
      </c>
      <c r="J51" s="5"/>
      <c r="K51" s="5"/>
      <c r="L51" s="5"/>
      <c r="M51" s="5"/>
      <c r="N51" s="5"/>
      <c r="O51" s="5"/>
      <c r="P51" s="5"/>
      <c r="Q51" s="5"/>
      <c r="R51" s="5"/>
    </row>
    <row r="52" spans="1:18" x14ac:dyDescent="0.2">
      <c r="A52" s="5"/>
      <c r="B52" t="str">
        <f t="shared" si="0"/>
        <v>.byte &gt;(</v>
      </c>
      <c r="C52" t="str">
        <f t="shared" si="1"/>
        <v>ROOMS_ADDRESS</v>
      </c>
      <c r="D52" t="str">
        <f t="shared" si="2"/>
        <v xml:space="preserve"> + (</v>
      </c>
      <c r="E52" t="str">
        <f t="shared" si="3"/>
        <v>ROOM_SIZE</v>
      </c>
      <c r="F52" t="str">
        <f t="shared" si="4"/>
        <v xml:space="preserve"> * </v>
      </c>
      <c r="G52">
        <v>47</v>
      </c>
      <c r="H52" t="str">
        <f t="shared" si="5"/>
        <v>))</v>
      </c>
      <c r="I52" s="3" t="str">
        <f t="shared" si="6"/>
        <v>.byte &gt;(ROOMS_ADDRESS + (ROOM_SIZE * 47))</v>
      </c>
      <c r="J52" s="5"/>
      <c r="K52" s="5"/>
      <c r="L52" s="5"/>
      <c r="M52" s="5"/>
      <c r="N52" s="5"/>
      <c r="O52" s="5"/>
      <c r="P52" s="5"/>
      <c r="Q52" s="5"/>
      <c r="R52" s="5"/>
    </row>
    <row r="53" spans="1:18" x14ac:dyDescent="0.2">
      <c r="A53" s="5"/>
      <c r="B53" t="str">
        <f t="shared" si="0"/>
        <v>.byte &gt;(</v>
      </c>
      <c r="C53" t="str">
        <f t="shared" si="1"/>
        <v>ROOMS_ADDRESS</v>
      </c>
      <c r="D53" t="str">
        <f t="shared" si="2"/>
        <v xml:space="preserve"> + (</v>
      </c>
      <c r="E53" t="str">
        <f t="shared" si="3"/>
        <v>ROOM_SIZE</v>
      </c>
      <c r="F53" t="str">
        <f t="shared" si="4"/>
        <v xml:space="preserve"> * </v>
      </c>
      <c r="G53">
        <v>48</v>
      </c>
      <c r="H53" t="str">
        <f t="shared" si="5"/>
        <v>))</v>
      </c>
      <c r="I53" s="3" t="str">
        <f t="shared" si="6"/>
        <v>.byte &gt;(ROOMS_ADDRESS + (ROOM_SIZE * 48))</v>
      </c>
      <c r="J53" s="5"/>
      <c r="K53" s="5"/>
      <c r="L53" s="5"/>
      <c r="M53" s="5"/>
      <c r="N53" s="5"/>
      <c r="O53" s="5"/>
      <c r="P53" s="5"/>
      <c r="Q53" s="5"/>
      <c r="R53" s="5"/>
    </row>
    <row r="54" spans="1:18" x14ac:dyDescent="0.2">
      <c r="A54" s="5"/>
      <c r="B54" t="str">
        <f t="shared" si="0"/>
        <v>.byte &gt;(</v>
      </c>
      <c r="C54" t="str">
        <f t="shared" si="1"/>
        <v>ROOMS_ADDRESS</v>
      </c>
      <c r="D54" t="str">
        <f t="shared" si="2"/>
        <v xml:space="preserve"> + (</v>
      </c>
      <c r="E54" t="str">
        <f t="shared" si="3"/>
        <v>ROOM_SIZE</v>
      </c>
      <c r="F54" t="str">
        <f t="shared" si="4"/>
        <v xml:space="preserve"> * </v>
      </c>
      <c r="G54">
        <v>49</v>
      </c>
      <c r="H54" t="str">
        <f t="shared" si="5"/>
        <v>))</v>
      </c>
      <c r="I54" s="3" t="str">
        <f t="shared" si="6"/>
        <v>.byte &gt;(ROOMS_ADDRESS + (ROOM_SIZE * 49))</v>
      </c>
      <c r="J54" s="5"/>
      <c r="K54" s="5"/>
      <c r="L54" s="5"/>
      <c r="M54" s="5"/>
      <c r="N54" s="5"/>
      <c r="O54" s="5"/>
      <c r="P54" s="5"/>
      <c r="Q54" s="5"/>
      <c r="R54" s="5"/>
    </row>
    <row r="55" spans="1:18" x14ac:dyDescent="0.2">
      <c r="A55" s="5"/>
      <c r="B55" t="str">
        <f t="shared" si="0"/>
        <v>.byte &gt;(</v>
      </c>
      <c r="C55" t="str">
        <f t="shared" si="1"/>
        <v>ROOMS_ADDRESS</v>
      </c>
      <c r="D55" t="str">
        <f t="shared" si="2"/>
        <v xml:space="preserve"> + (</v>
      </c>
      <c r="E55" t="str">
        <f t="shared" si="3"/>
        <v>ROOM_SIZE</v>
      </c>
      <c r="F55" t="str">
        <f t="shared" si="4"/>
        <v xml:space="preserve"> * </v>
      </c>
      <c r="G55">
        <v>50</v>
      </c>
      <c r="H55" t="str">
        <f t="shared" si="5"/>
        <v>))</v>
      </c>
      <c r="I55" s="3" t="str">
        <f t="shared" si="6"/>
        <v>.byte &gt;(ROOMS_ADDRESS + (ROOM_SIZE * 50))</v>
      </c>
      <c r="J55" s="5"/>
      <c r="K55" s="5"/>
      <c r="L55" s="5"/>
      <c r="M55" s="5"/>
      <c r="N55" s="5"/>
      <c r="O55" s="5"/>
      <c r="P55" s="5"/>
      <c r="Q55" s="5"/>
      <c r="R55" s="5"/>
    </row>
    <row r="56" spans="1:18" x14ac:dyDescent="0.2">
      <c r="A56" s="5"/>
      <c r="B56" t="str">
        <f t="shared" si="0"/>
        <v>.byte &gt;(</v>
      </c>
      <c r="C56" t="str">
        <f t="shared" si="1"/>
        <v>ROOMS_ADDRESS</v>
      </c>
      <c r="D56" t="str">
        <f t="shared" si="2"/>
        <v xml:space="preserve"> + (</v>
      </c>
      <c r="E56" t="str">
        <f t="shared" si="3"/>
        <v>ROOM_SIZE</v>
      </c>
      <c r="F56" t="str">
        <f t="shared" si="4"/>
        <v xml:space="preserve"> * </v>
      </c>
      <c r="G56">
        <v>51</v>
      </c>
      <c r="H56" t="str">
        <f t="shared" si="5"/>
        <v>))</v>
      </c>
      <c r="I56" s="3" t="str">
        <f t="shared" si="6"/>
        <v>.byte &gt;(ROOMS_ADDRESS + (ROOM_SIZE * 51))</v>
      </c>
      <c r="J56" s="5"/>
      <c r="K56" s="5"/>
      <c r="L56" s="5"/>
      <c r="M56" s="5"/>
      <c r="N56" s="5"/>
      <c r="O56" s="5"/>
      <c r="P56" s="5"/>
      <c r="Q56" s="5"/>
      <c r="R56" s="5"/>
    </row>
    <row r="57" spans="1:18" x14ac:dyDescent="0.2">
      <c r="A57" s="5"/>
      <c r="B57" t="str">
        <f t="shared" si="0"/>
        <v>.byte &gt;(</v>
      </c>
      <c r="C57" t="str">
        <f t="shared" si="1"/>
        <v>ROOMS_ADDRESS</v>
      </c>
      <c r="D57" t="str">
        <f t="shared" si="2"/>
        <v xml:space="preserve"> + (</v>
      </c>
      <c r="E57" t="str">
        <f t="shared" si="3"/>
        <v>ROOM_SIZE</v>
      </c>
      <c r="F57" t="str">
        <f t="shared" si="4"/>
        <v xml:space="preserve"> * </v>
      </c>
      <c r="G57">
        <v>52</v>
      </c>
      <c r="H57" t="str">
        <f t="shared" si="5"/>
        <v>))</v>
      </c>
      <c r="I57" s="3" t="str">
        <f t="shared" si="6"/>
        <v>.byte &gt;(ROOMS_ADDRESS + (ROOM_SIZE * 52))</v>
      </c>
      <c r="J57" s="5"/>
      <c r="K57" s="5"/>
      <c r="L57" s="5"/>
      <c r="M57" s="5"/>
      <c r="N57" s="5"/>
      <c r="O57" s="5"/>
      <c r="P57" s="5"/>
      <c r="Q57" s="5"/>
      <c r="R57" s="5"/>
    </row>
    <row r="58" spans="1:18" x14ac:dyDescent="0.2">
      <c r="A58" s="5"/>
      <c r="B58" t="str">
        <f t="shared" si="0"/>
        <v>.byte &gt;(</v>
      </c>
      <c r="C58" t="str">
        <f t="shared" si="1"/>
        <v>ROOMS_ADDRESS</v>
      </c>
      <c r="D58" t="str">
        <f t="shared" si="2"/>
        <v xml:space="preserve"> + (</v>
      </c>
      <c r="E58" t="str">
        <f t="shared" si="3"/>
        <v>ROOM_SIZE</v>
      </c>
      <c r="F58" t="str">
        <f t="shared" si="4"/>
        <v xml:space="preserve"> * </v>
      </c>
      <c r="G58">
        <v>53</v>
      </c>
      <c r="H58" t="str">
        <f t="shared" si="5"/>
        <v>))</v>
      </c>
      <c r="I58" s="3" t="str">
        <f t="shared" si="6"/>
        <v>.byte &gt;(ROOMS_ADDRESS + (ROOM_SIZE * 53))</v>
      </c>
      <c r="J58" s="5"/>
      <c r="K58" s="5"/>
      <c r="L58" s="5"/>
      <c r="M58" s="5"/>
      <c r="N58" s="5"/>
      <c r="O58" s="5"/>
      <c r="P58" s="5"/>
      <c r="Q58" s="5"/>
      <c r="R58" s="5"/>
    </row>
    <row r="59" spans="1:18" x14ac:dyDescent="0.2">
      <c r="A59" s="5"/>
      <c r="B59" t="str">
        <f t="shared" si="0"/>
        <v>.byte &gt;(</v>
      </c>
      <c r="C59" t="str">
        <f t="shared" si="1"/>
        <v>ROOMS_ADDRESS</v>
      </c>
      <c r="D59" t="str">
        <f t="shared" si="2"/>
        <v xml:space="preserve"> + (</v>
      </c>
      <c r="E59" t="str">
        <f t="shared" si="3"/>
        <v>ROOM_SIZE</v>
      </c>
      <c r="F59" t="str">
        <f t="shared" si="4"/>
        <v xml:space="preserve"> * </v>
      </c>
      <c r="G59">
        <v>54</v>
      </c>
      <c r="H59" t="str">
        <f t="shared" si="5"/>
        <v>))</v>
      </c>
      <c r="I59" s="3" t="str">
        <f t="shared" si="6"/>
        <v>.byte &gt;(ROOMS_ADDRESS + (ROOM_SIZE * 54))</v>
      </c>
      <c r="J59" s="5"/>
      <c r="K59" s="5"/>
      <c r="L59" s="5"/>
      <c r="M59" s="5"/>
      <c r="N59" s="5"/>
      <c r="O59" s="5"/>
      <c r="P59" s="5"/>
      <c r="Q59" s="5"/>
      <c r="R59" s="5"/>
    </row>
    <row r="60" spans="1:18" x14ac:dyDescent="0.2">
      <c r="A60" s="5"/>
      <c r="B60" t="str">
        <f t="shared" si="0"/>
        <v>.byte &gt;(</v>
      </c>
      <c r="C60" t="str">
        <f t="shared" si="1"/>
        <v>ROOMS_ADDRESS</v>
      </c>
      <c r="D60" t="str">
        <f t="shared" si="2"/>
        <v xml:space="preserve"> + (</v>
      </c>
      <c r="E60" t="str">
        <f t="shared" si="3"/>
        <v>ROOM_SIZE</v>
      </c>
      <c r="F60" t="str">
        <f t="shared" si="4"/>
        <v xml:space="preserve"> * </v>
      </c>
      <c r="G60">
        <v>55</v>
      </c>
      <c r="H60" t="str">
        <f t="shared" si="5"/>
        <v>))</v>
      </c>
      <c r="I60" s="3" t="str">
        <f t="shared" si="6"/>
        <v>.byte &gt;(ROOMS_ADDRESS + (ROOM_SIZE * 55))</v>
      </c>
      <c r="J60" s="5"/>
      <c r="K60" s="5"/>
      <c r="L60" s="5"/>
      <c r="M60" s="5"/>
      <c r="N60" s="5"/>
      <c r="O60" s="5"/>
      <c r="P60" s="5"/>
      <c r="Q60" s="5"/>
      <c r="R60" s="5"/>
    </row>
    <row r="61" spans="1:18" x14ac:dyDescent="0.2">
      <c r="A61" s="5"/>
      <c r="B61" t="str">
        <f t="shared" si="0"/>
        <v>.byte &gt;(</v>
      </c>
      <c r="C61" t="str">
        <f t="shared" si="1"/>
        <v>ROOMS_ADDRESS</v>
      </c>
      <c r="D61" t="str">
        <f t="shared" si="2"/>
        <v xml:space="preserve"> + (</v>
      </c>
      <c r="E61" t="str">
        <f t="shared" si="3"/>
        <v>ROOM_SIZE</v>
      </c>
      <c r="F61" t="str">
        <f t="shared" si="4"/>
        <v xml:space="preserve"> * </v>
      </c>
      <c r="G61">
        <v>56</v>
      </c>
      <c r="H61" t="str">
        <f t="shared" si="5"/>
        <v>))</v>
      </c>
      <c r="I61" s="3" t="str">
        <f t="shared" si="6"/>
        <v>.byte &gt;(ROOMS_ADDRESS + (ROOM_SIZE * 56))</v>
      </c>
      <c r="J61" s="5"/>
      <c r="K61" s="5"/>
      <c r="L61" s="5"/>
      <c r="M61" s="5"/>
      <c r="N61" s="5"/>
      <c r="O61" s="5"/>
      <c r="P61" s="5"/>
      <c r="Q61" s="5"/>
      <c r="R61" s="5"/>
    </row>
    <row r="62" spans="1:18" x14ac:dyDescent="0.2">
      <c r="A62" s="5"/>
      <c r="B62" t="str">
        <f t="shared" si="0"/>
        <v>.byte &gt;(</v>
      </c>
      <c r="C62" t="str">
        <f t="shared" si="1"/>
        <v>ROOMS_ADDRESS</v>
      </c>
      <c r="D62" t="str">
        <f t="shared" si="2"/>
        <v xml:space="preserve"> + (</v>
      </c>
      <c r="E62" t="str">
        <f t="shared" si="3"/>
        <v>ROOM_SIZE</v>
      </c>
      <c r="F62" t="str">
        <f t="shared" si="4"/>
        <v xml:space="preserve"> * </v>
      </c>
      <c r="G62">
        <v>57</v>
      </c>
      <c r="H62" t="str">
        <f t="shared" si="5"/>
        <v>))</v>
      </c>
      <c r="I62" s="3" t="str">
        <f t="shared" si="6"/>
        <v>.byte &gt;(ROOMS_ADDRESS + (ROOM_SIZE * 57))</v>
      </c>
      <c r="J62" s="5"/>
      <c r="K62" s="5"/>
      <c r="L62" s="5"/>
      <c r="M62" s="5"/>
      <c r="N62" s="5"/>
      <c r="O62" s="5"/>
      <c r="P62" s="5"/>
      <c r="Q62" s="5"/>
      <c r="R62" s="5"/>
    </row>
    <row r="63" spans="1:18" x14ac:dyDescent="0.2">
      <c r="A63" s="5"/>
      <c r="B63" t="str">
        <f t="shared" si="0"/>
        <v>.byte &gt;(</v>
      </c>
      <c r="C63" t="str">
        <f t="shared" si="1"/>
        <v>ROOMS_ADDRESS</v>
      </c>
      <c r="D63" t="str">
        <f t="shared" si="2"/>
        <v xml:space="preserve"> + (</v>
      </c>
      <c r="E63" t="str">
        <f t="shared" si="3"/>
        <v>ROOM_SIZE</v>
      </c>
      <c r="F63" t="str">
        <f t="shared" si="4"/>
        <v xml:space="preserve"> * </v>
      </c>
      <c r="G63">
        <v>58</v>
      </c>
      <c r="H63" t="str">
        <f t="shared" si="5"/>
        <v>))</v>
      </c>
      <c r="I63" s="3" t="str">
        <f t="shared" si="6"/>
        <v>.byte &gt;(ROOMS_ADDRESS + (ROOM_SIZE * 58))</v>
      </c>
      <c r="J63" s="5"/>
      <c r="K63" s="5"/>
      <c r="L63" s="5"/>
      <c r="M63" s="5"/>
      <c r="N63" s="5"/>
      <c r="O63" s="5"/>
      <c r="P63" s="5"/>
      <c r="Q63" s="5"/>
      <c r="R63" s="5"/>
    </row>
    <row r="64" spans="1:18" x14ac:dyDescent="0.2">
      <c r="A64" s="5"/>
      <c r="B64" t="str">
        <f t="shared" si="0"/>
        <v>.byte &gt;(</v>
      </c>
      <c r="C64" t="str">
        <f t="shared" si="1"/>
        <v>ROOMS_ADDRESS</v>
      </c>
      <c r="D64" t="str">
        <f t="shared" si="2"/>
        <v xml:space="preserve"> + (</v>
      </c>
      <c r="E64" t="str">
        <f t="shared" si="3"/>
        <v>ROOM_SIZE</v>
      </c>
      <c r="F64" t="str">
        <f t="shared" si="4"/>
        <v xml:space="preserve"> * </v>
      </c>
      <c r="G64">
        <v>59</v>
      </c>
      <c r="H64" t="str">
        <f t="shared" si="5"/>
        <v>))</v>
      </c>
      <c r="I64" s="3" t="str">
        <f t="shared" si="6"/>
        <v>.byte &gt;(ROOMS_ADDRESS + (ROOM_SIZE * 59))</v>
      </c>
      <c r="J64" s="5"/>
      <c r="K64" s="5"/>
      <c r="L64" s="5"/>
      <c r="M64" s="5"/>
      <c r="N64" s="5"/>
      <c r="O64" s="5"/>
      <c r="P64" s="5"/>
      <c r="Q64" s="5"/>
      <c r="R64" s="5"/>
    </row>
    <row r="65" spans="1:18" x14ac:dyDescent="0.2">
      <c r="A65" s="5"/>
      <c r="B65" t="str">
        <f t="shared" si="0"/>
        <v>.byte &gt;(</v>
      </c>
      <c r="C65" t="str">
        <f t="shared" si="1"/>
        <v>ROOMS_ADDRESS</v>
      </c>
      <c r="D65" t="str">
        <f t="shared" si="2"/>
        <v xml:space="preserve"> + (</v>
      </c>
      <c r="E65" t="str">
        <f t="shared" si="3"/>
        <v>ROOM_SIZE</v>
      </c>
      <c r="F65" t="str">
        <f t="shared" si="4"/>
        <v xml:space="preserve"> * </v>
      </c>
      <c r="G65">
        <v>60</v>
      </c>
      <c r="H65" t="str">
        <f t="shared" si="5"/>
        <v>))</v>
      </c>
      <c r="I65" s="3" t="str">
        <f t="shared" si="6"/>
        <v>.byte &gt;(ROOMS_ADDRESS + (ROOM_SIZE * 60))</v>
      </c>
      <c r="J65" s="5"/>
      <c r="K65" s="5"/>
      <c r="L65" s="5"/>
      <c r="M65" s="5"/>
      <c r="N65" s="5"/>
      <c r="O65" s="5"/>
      <c r="P65" s="5"/>
      <c r="Q65" s="5"/>
      <c r="R65" s="5"/>
    </row>
    <row r="66" spans="1:18" x14ac:dyDescent="0.2">
      <c r="A66" s="5"/>
      <c r="B66" t="str">
        <f t="shared" si="0"/>
        <v>.byte &gt;(</v>
      </c>
      <c r="C66" t="str">
        <f t="shared" si="1"/>
        <v>ROOMS_ADDRESS</v>
      </c>
      <c r="D66" t="str">
        <f t="shared" si="2"/>
        <v xml:space="preserve"> + (</v>
      </c>
      <c r="E66" t="str">
        <f t="shared" si="3"/>
        <v>ROOM_SIZE</v>
      </c>
      <c r="F66" t="str">
        <f t="shared" si="4"/>
        <v xml:space="preserve"> * </v>
      </c>
      <c r="G66">
        <v>61</v>
      </c>
      <c r="H66" t="str">
        <f t="shared" si="5"/>
        <v>))</v>
      </c>
      <c r="I66" s="3" t="str">
        <f t="shared" si="6"/>
        <v>.byte &gt;(ROOMS_ADDRESS + (ROOM_SIZE * 61))</v>
      </c>
      <c r="J66" s="5"/>
      <c r="K66" s="5"/>
      <c r="L66" s="5"/>
      <c r="M66" s="5"/>
      <c r="N66" s="5"/>
      <c r="O66" s="5"/>
      <c r="P66" s="5"/>
      <c r="Q66" s="5"/>
      <c r="R66" s="5"/>
    </row>
    <row r="67" spans="1:18" x14ac:dyDescent="0.2">
      <c r="A67" s="5"/>
      <c r="B67" t="str">
        <f t="shared" si="0"/>
        <v>.byte &gt;(</v>
      </c>
      <c r="C67" t="str">
        <f t="shared" si="1"/>
        <v>ROOMS_ADDRESS</v>
      </c>
      <c r="D67" t="str">
        <f t="shared" si="2"/>
        <v xml:space="preserve"> + (</v>
      </c>
      <c r="E67" t="str">
        <f t="shared" si="3"/>
        <v>ROOM_SIZE</v>
      </c>
      <c r="F67" t="str">
        <f t="shared" si="4"/>
        <v xml:space="preserve"> * </v>
      </c>
      <c r="G67">
        <v>62</v>
      </c>
      <c r="H67" t="str">
        <f t="shared" si="5"/>
        <v>))</v>
      </c>
      <c r="I67" s="3" t="str">
        <f t="shared" si="6"/>
        <v>.byte &gt;(ROOMS_ADDRESS + (ROOM_SIZE * 62))</v>
      </c>
      <c r="J67" s="5"/>
      <c r="K67" s="5"/>
      <c r="L67" s="5"/>
      <c r="M67" s="5"/>
      <c r="N67" s="5"/>
      <c r="O67" s="5"/>
      <c r="P67" s="5"/>
      <c r="Q67" s="5"/>
      <c r="R67" s="5"/>
    </row>
    <row r="68" spans="1:18" x14ac:dyDescent="0.2">
      <c r="A68" s="5"/>
      <c r="B68" t="str">
        <f t="shared" si="0"/>
        <v>.byte &gt;(</v>
      </c>
      <c r="C68" t="str">
        <f t="shared" si="1"/>
        <v>ROOMS_ADDRESS</v>
      </c>
      <c r="D68" t="str">
        <f t="shared" si="2"/>
        <v xml:space="preserve"> + (</v>
      </c>
      <c r="E68" t="str">
        <f t="shared" si="3"/>
        <v>ROOM_SIZE</v>
      </c>
      <c r="F68" t="str">
        <f t="shared" si="4"/>
        <v xml:space="preserve"> * </v>
      </c>
      <c r="G68">
        <v>63</v>
      </c>
      <c r="H68" t="str">
        <f t="shared" si="5"/>
        <v>))</v>
      </c>
      <c r="I68" s="3" t="str">
        <f t="shared" si="6"/>
        <v>.byte &gt;(ROOMS_ADDRESS + (ROOM_SIZE * 63))</v>
      </c>
      <c r="J68" s="5"/>
      <c r="K68" s="5"/>
      <c r="L68" s="5"/>
      <c r="M68" s="5"/>
      <c r="N68" s="5"/>
      <c r="O68" s="5"/>
      <c r="P68" s="5"/>
      <c r="Q68" s="5"/>
      <c r="R68" s="5"/>
    </row>
    <row r="69" spans="1:18" x14ac:dyDescent="0.2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1:18" x14ac:dyDescent="0.2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1:18" x14ac:dyDescent="0.2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1:18" x14ac:dyDescent="0.2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pyRoomTable">
                <anchor moveWithCells="1" sizeWithCells="1">
                  <from>
                    <xdr:col>8</xdr:col>
                    <xdr:colOff>812800</xdr:colOff>
                    <xdr:row>0</xdr:row>
                    <xdr:rowOff>139700</xdr:rowOff>
                  </from>
                  <to>
                    <xdr:col>8</xdr:col>
                    <xdr:colOff>2336800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Screen Tables</vt:lpstr>
      <vt:lpstr>Room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Bård Baadstø Ildgruben</dc:creator>
  <cp:lastModifiedBy>Bård Baadstø Ildgruben</cp:lastModifiedBy>
  <dcterms:created xsi:type="dcterms:W3CDTF">2023-09-04T12:25:26Z</dcterms:created>
  <dcterms:modified xsi:type="dcterms:W3CDTF">2025-04-20T12:01:54Z</dcterms:modified>
</cp:coreProperties>
</file>